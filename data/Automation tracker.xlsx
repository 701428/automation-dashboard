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lit.tak/Documents/Workspace/Automation_Dash/"/>
    </mc:Choice>
  </mc:AlternateContent>
  <xr:revisionPtr revIDLastSave="39" documentId="13_ncr:1_{785D4A77-184D-EC4A-B130-4071B24C5316}" xr6:coauthVersionLast="47" xr6:coauthVersionMax="47" xr10:uidLastSave="{EA980BA4-C79D-468D-9632-5B0DD9CC8456}"/>
  <bookViews>
    <workbookView xWindow="0" yWindow="780" windowWidth="34200" windowHeight="21460" firstSheet="3" activeTab="3" xr2:uid="{00000000-000D-0000-FFFF-FFFF00000000}"/>
  </bookViews>
  <sheets>
    <sheet name="HES-Sangai" sheetId="8" r:id="rId1"/>
    <sheet name="HES-Goamti" sheetId="4" r:id="rId2"/>
    <sheet name="VEE" sheetId="3" r:id="rId3"/>
    <sheet name="Consumer_App" sheetId="1" r:id="rId4"/>
    <sheet name="Comms" sheetId="2" r:id="rId5"/>
    <sheet name="Firmware-Single_Phase" sheetId="5" r:id="rId6"/>
    <sheet name="Firmware-WC_LTCT" sheetId="10" r:id="rId7"/>
    <sheet name="Meter Setu" sheetId="9" r:id="rId8"/>
    <sheet name="WFM" sheetId="6" r:id="rId9"/>
    <sheet name="Gomati_MDMS_RMS" sheetId="7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2" l="1"/>
  <c r="F3" i="5"/>
  <c r="D3" i="5"/>
  <c r="C3" i="5"/>
  <c r="F3" i="9"/>
  <c r="F3" i="8"/>
  <c r="F3" i="4"/>
  <c r="D3" i="4"/>
  <c r="D3" i="7"/>
  <c r="E13" i="10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12" i="10"/>
  <c r="E14" i="5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13" i="5"/>
  <c r="E12" i="5"/>
  <c r="D3" i="3"/>
  <c r="E15" i="4"/>
  <c r="E16" i="4" s="1"/>
  <c r="E17" i="4" s="1"/>
  <c r="E18" i="4" s="1"/>
  <c r="E14" i="4"/>
  <c r="D3" i="8"/>
  <c r="E14" i="2"/>
  <c r="E15" i="2" s="1"/>
  <c r="E16" i="2" s="1"/>
  <c r="E17" i="2" s="1"/>
  <c r="E18" i="2" s="1"/>
  <c r="E19" i="2" s="1"/>
  <c r="E20" i="2" s="1"/>
  <c r="E21" i="2" s="1"/>
  <c r="E22" i="2" s="1"/>
  <c r="E23" i="2" s="1"/>
  <c r="E26" i="2" s="1"/>
  <c r="E24" i="2" s="1"/>
  <c r="E25" i="2" s="1"/>
</calcChain>
</file>

<file path=xl/sharedStrings.xml><?xml version="1.0" encoding="utf-8"?>
<sst xmlns="http://schemas.openxmlformats.org/spreadsheetml/2006/main" count="1276" uniqueCount="539">
  <si>
    <t>Automation Status Summary</t>
  </si>
  <si>
    <t>Project / Environment</t>
  </si>
  <si>
    <t>Total Test Cases</t>
  </si>
  <si>
    <t>Automated (On Server)</t>
  </si>
  <si>
    <t>Pending Automation</t>
  </si>
  <si>
    <t>Cannot be Automated</t>
  </si>
  <si>
    <t>Automation Coverage (%)</t>
  </si>
  <si>
    <t>HES-Sangai</t>
  </si>
  <si>
    <t>Non-Automatable Test Cases</t>
  </si>
  <si>
    <t>Test Case ID</t>
  </si>
  <si>
    <t>Test Case Name / Description</t>
  </si>
  <si>
    <t>Reason for Non-Automation</t>
  </si>
  <si>
    <t>Manual/Alternative Validation Approach</t>
  </si>
  <si>
    <t>DASH_002</t>
  </si>
  <si>
    <t>Validate redirection from HES Dashboard page to Jira Help Center and verify permission access control.</t>
  </si>
  <si>
    <t>NA as per discussion with PM</t>
  </si>
  <si>
    <t>MP_DL_006</t>
  </si>
  <si>
    <t>Verify HES Daily Load Collection When Meter RTC Is Corrupted</t>
  </si>
  <si>
    <t>Cannot set curropt RTC in meter FW</t>
  </si>
  <si>
    <t>CMD_TOU_007</t>
  </si>
  <si>
    <t>Verify TOD enegry Push at midnight on HES with corrupt RTC</t>
  </si>
  <si>
    <t>CMD_KEYS_001</t>
  </si>
  <si>
    <t>Verify LLS, HLS, and FW-HLS key setting command for all meter types in HES.</t>
  </si>
  <si>
    <t>This scenario will be tested manually only as there is no command to read keys in HES</t>
  </si>
  <si>
    <t>SINK_CHANGE_001</t>
  </si>
  <si>
    <t>Verify meter auto-mapping updates in HES and NMS when the parent DCU/IMG goes offline.</t>
  </si>
  <si>
    <t>Manual interruption is needed</t>
  </si>
  <si>
    <t>RF_FW_003</t>
  </si>
  <si>
    <t>Negative Scenarios – RF Firmware Upgrade Failure (Power OFF, DCU OFF, RF Module Removed, Invalid FW File)</t>
  </si>
  <si>
    <t>Day-by-Day Automation Implementation Plan</t>
  </si>
  <si>
    <t>Date</t>
  </si>
  <si>
    <t>Planned Test Cases</t>
  </si>
  <si>
    <t>Automated Test Cases (Actual)</t>
  </si>
  <si>
    <t>Cumulative Automated</t>
  </si>
  <si>
    <t>Assigned To</t>
  </si>
  <si>
    <t>Remarks</t>
  </si>
  <si>
    <t>6/24/2026</t>
  </si>
  <si>
    <t>Sangai</t>
  </si>
  <si>
    <t>Archi</t>
  </si>
  <si>
    <t>7/14/2026</t>
  </si>
  <si>
    <t>CMD_FW</t>
  </si>
  <si>
    <t>7/20/2026</t>
  </si>
  <si>
    <t>CMD_RF_FW</t>
  </si>
  <si>
    <t>7/23/2026</t>
  </si>
  <si>
    <t>CMD_LLT</t>
  </si>
  <si>
    <t>7/28/2026</t>
  </si>
  <si>
    <t>CMD_</t>
  </si>
  <si>
    <t>RBAC_</t>
  </si>
  <si>
    <t>CMD_LRC</t>
  </si>
  <si>
    <t>CMD_SCH</t>
  </si>
  <si>
    <t>EVT_DI</t>
  </si>
  <si>
    <t>8/18/2026</t>
  </si>
  <si>
    <t>DCU_FW</t>
  </si>
  <si>
    <t>Project Completion Plan</t>
  </si>
  <si>
    <t>Total Duration (Days)</t>
  </si>
  <si>
    <t>Daily Avg Execution</t>
  </si>
  <si>
    <t>Start Date</t>
  </si>
  <si>
    <t>Expected Completion Date</t>
  </si>
  <si>
    <t>Status (On Track / Delayed)</t>
  </si>
  <si>
    <t>Delayed</t>
  </si>
  <si>
    <t>HES-Gomati</t>
  </si>
  <si>
    <t>Manual / Alternative Validation Approach</t>
  </si>
  <si>
    <t>NA (6 Test Cases)</t>
  </si>
  <si>
    <t>Environment/Scenario-specific test cases</t>
  </si>
  <si>
    <t>Functional limitation / Manual validation required</t>
  </si>
  <si>
    <t>Manual execution and verification</t>
  </si>
  <si>
    <t>Gomati</t>
  </si>
  <si>
    <t>TOU</t>
  </si>
  <si>
    <t>VEE Automation</t>
  </si>
  <si>
    <t>460(1PH - 212, 3PH - 248)</t>
  </si>
  <si>
    <t>MRMB_473</t>
  </si>
  <si>
    <t>Daily Rollover Rule and Monthly Billing Estimation</t>
  </si>
  <si>
    <t>Pending from Development Team</t>
  </si>
  <si>
    <t>N/A</t>
  </si>
  <si>
    <t>MRMB_474</t>
  </si>
  <si>
    <t>MRMB_475</t>
  </si>
  <si>
    <t>MRMB_476</t>
  </si>
  <si>
    <t>DRDL_477</t>
  </si>
  <si>
    <t>DRDL_478</t>
  </si>
  <si>
    <t>DRDL_479</t>
  </si>
  <si>
    <t>DRDL_480</t>
  </si>
  <si>
    <t>DRMB_481</t>
  </si>
  <si>
    <t>DRMB_482</t>
  </si>
  <si>
    <t>DRMB_483</t>
  </si>
  <si>
    <t>DRMB_484</t>
  </si>
  <si>
    <t>DLPP_485</t>
  </si>
  <si>
    <t>DLPP_486</t>
  </si>
  <si>
    <t>DLPP_487</t>
  </si>
  <si>
    <t>DLPP_488</t>
  </si>
  <si>
    <t>DLPP_489</t>
  </si>
  <si>
    <t>DLPP_490</t>
  </si>
  <si>
    <t>DLPP_491</t>
  </si>
  <si>
    <t>DLPP_492</t>
  </si>
  <si>
    <t>UMIP_175</t>
  </si>
  <si>
    <t>UMIP_176</t>
  </si>
  <si>
    <t>UMBL_179</t>
  </si>
  <si>
    <t>UMBL_180</t>
  </si>
  <si>
    <t>UMDL_183</t>
  </si>
  <si>
    <t>UMDL_184</t>
  </si>
  <si>
    <t>UMMB_187</t>
  </si>
  <si>
    <t>UMMB_188</t>
  </si>
  <si>
    <t>MRBL_465</t>
  </si>
  <si>
    <t>MRBL_466</t>
  </si>
  <si>
    <t>MRBL_467</t>
  </si>
  <si>
    <t>MRBL_468</t>
  </si>
  <si>
    <t>Gomati / Sangai</t>
  </si>
  <si>
    <t>ERBL_XXX,ZCBL_XXX,UMBL_XXX</t>
  </si>
  <si>
    <t>Arpit Jain</t>
  </si>
  <si>
    <t>MDMS V1 development has been stopped. Test cases need to be updated as per the new database implementation.</t>
  </si>
  <si>
    <t>HDIP_XXX, UMIP_XXX, ERIP_XXX, PFIP_XXX, MRIP_XXX</t>
  </si>
  <si>
    <t>HCDL_XXX, LCDL_XXX, NCDL_XXX, UMDL_XXX, SCBLDL_XXX, ZCDL_XXX, ERDL_XXX, MRDL_XXX</t>
  </si>
  <si>
    <t>HDMB_XXX, NCMB_XXX, UMMB_XXX, SCMB_XXX, ERMB_XXX, PFMB_XXX</t>
  </si>
  <si>
    <t>VEE UI</t>
  </si>
  <si>
    <t>UIVRI_XXX, UIERI_XXX, UIFP_XXX, UIDAI_XXX, UIRVBL_XXX, UIRVDL_XXX, UIRVMB_XXX, UIRVIP_XXX, UIVSBL_XXX, UIVSDL_XXX, UIVSML_XXX, UIVSIP_XXX, UIESBL_XXX, UIESDL_XXX, UIESML_XXX, UIESIP_XXX, UIETDL_XXX, UIETIP_XXX, UIETIP_XXX, UIETTDL_XXX, UIETTBL_XXX, UIETTIP_XXX, UIDADL_XXX, UIDAMB_XXX, UIDABL_XXX, UIDAIP_XXX, UIDCBL_XXX, UIDCDL_XXX, UIDCMB_XXX, UIDCIP_XXX</t>
  </si>
  <si>
    <t>Delayed Due to MDMS Release V2.7.1 Testing.</t>
  </si>
  <si>
    <t>Start date - 24-07-2026</t>
  </si>
  <si>
    <t>End date - 04-08-2026 (31-08-2026 -&gt; shift to 11-09-2026)</t>
  </si>
  <si>
    <t>45 (UI: 30 days tentative)</t>
  </si>
  <si>
    <t xml:space="preserve"> 25/09/26</t>
  </si>
  <si>
    <t>Automated (Current)</t>
  </si>
  <si>
    <t>Consumer App- Gomati (Android)</t>
  </si>
  <si>
    <t>None identified</t>
  </si>
  <si>
    <t>Gomati(Android)</t>
  </si>
  <si>
    <t>LOG_XXX</t>
  </si>
  <si>
    <t> 4</t>
  </si>
  <si>
    <t>Komal Singhal</t>
  </si>
  <si>
    <t>2 Done, 2 Remaining</t>
  </si>
  <si>
    <t>HOM_XXX</t>
  </si>
  <si>
    <t>7 </t>
  </si>
  <si>
    <t> 7</t>
  </si>
  <si>
    <t>MMT_XXX</t>
  </si>
  <si>
    <t> 9</t>
  </si>
  <si>
    <t>Done (2) </t>
  </si>
  <si>
    <t>SCU_XXX</t>
  </si>
  <si>
    <t> 12</t>
  </si>
  <si>
    <t>PRF_XXX</t>
  </si>
  <si>
    <t> 17</t>
  </si>
  <si>
    <t>3 Done, 2 Remaining </t>
  </si>
  <si>
    <t>MTR_XXX</t>
  </si>
  <si>
    <t> 21</t>
  </si>
  <si>
    <t>WLT_XXX</t>
  </si>
  <si>
    <t> 40</t>
  </si>
  <si>
    <t> 10 Done, 9 Remaining</t>
  </si>
  <si>
    <t>BIL_XXX</t>
  </si>
  <si>
    <t> 41</t>
  </si>
  <si>
    <t>CNP_XXX</t>
  </si>
  <si>
    <t> 47</t>
  </si>
  <si>
    <t>SLD_XXX</t>
  </si>
  <si>
    <t> 48</t>
  </si>
  <si>
    <t>QKL_XXX</t>
  </si>
  <si>
    <t> 51</t>
  </si>
  <si>
    <t>TRF_XXX</t>
  </si>
  <si>
    <t> 52</t>
  </si>
  <si>
    <t>CSP_XXX</t>
  </si>
  <si>
    <t> 53</t>
  </si>
  <si>
    <t>FAQ_XXX</t>
  </si>
  <si>
    <t> 54</t>
  </si>
  <si>
    <t>MXD_XXX</t>
  </si>
  <si>
    <t> 58</t>
  </si>
  <si>
    <t>EBG_XXX</t>
  </si>
  <si>
    <t> 59</t>
  </si>
  <si>
    <t>UID_XXX</t>
  </si>
  <si>
    <t> 60</t>
  </si>
  <si>
    <t>DAR_XXX</t>
  </si>
  <si>
    <t> 61</t>
  </si>
  <si>
    <t>NTF_XXX</t>
  </si>
  <si>
    <t> 69</t>
  </si>
  <si>
    <t>SRH_XXX</t>
  </si>
  <si>
    <t> 70</t>
  </si>
  <si>
    <t>LNG_XXX</t>
  </si>
  <si>
    <t> 71</t>
  </si>
  <si>
    <t>STP_XXX</t>
  </si>
  <si>
    <t> 72</t>
  </si>
  <si>
    <t>GST_XXX</t>
  </si>
  <si>
    <t> 75</t>
  </si>
  <si>
    <t>PRV_XXX</t>
  </si>
  <si>
    <t> 76</t>
  </si>
  <si>
    <t>TNC_XXX</t>
  </si>
  <si>
    <t> 77</t>
  </si>
  <si>
    <t>EMP_XXX</t>
  </si>
  <si>
    <t>MUS_XXX</t>
  </si>
  <si>
    <t> 79</t>
  </si>
  <si>
    <t>PPD_XXX</t>
  </si>
  <si>
    <t> 81</t>
  </si>
  <si>
    <t>Daily Avg Automation</t>
  </si>
  <si>
    <t>Status</t>
  </si>
  <si>
    <t>Gomati (Android)</t>
  </si>
  <si>
    <t>1.35 tc/d</t>
  </si>
  <si>
    <t>Communication-Gomati</t>
  </si>
  <si>
    <t>Network Validation (4 Test Cases)</t>
  </si>
  <si>
    <t>Network Validation Scenarios</t>
  </si>
  <si>
    <t>Hardware/Network dependency</t>
  </si>
  <si>
    <t>Manual Validation</t>
  </si>
  <si>
    <t>SIM Functionality (10 Test Cases)</t>
  </si>
  <si>
    <t>SIM Operations &amp; Validation</t>
  </si>
  <si>
    <t>Requires physical SIM interaction</t>
  </si>
  <si>
    <t>Manual Testing</t>
  </si>
  <si>
    <t>Module Swapping (10 Test Cases)</t>
  </si>
  <si>
    <t>Module Replacement &amp; Swapping</t>
  </si>
  <si>
    <t>Physical hardware replacement required</t>
  </si>
  <si>
    <t>Chattering Test (2 Test Cases)</t>
  </si>
  <si>
    <t>Chattering Validation</t>
  </si>
  <si>
    <t>Not feasible for automation</t>
  </si>
  <si>
    <t>Planned Test Cases / Module</t>
  </si>
  <si>
    <t>Comms (4G / RF / IMG / DCU)</t>
  </si>
  <si>
    <t>Provisioning</t>
  </si>
  <si>
    <t>Saloni Sisodiya</t>
  </si>
  <si>
    <t>Remaining provisioning automation</t>
  </si>
  <si>
    <t>Data Pull Test</t>
  </si>
  <si>
    <t>Remaining automation</t>
  </si>
  <si>
    <t>Data Push Test</t>
  </si>
  <si>
    <t>Network Validation- I</t>
  </si>
  <si>
    <t>Automatable network scenarios</t>
  </si>
  <si>
    <t>OTAP - I</t>
  </si>
  <si>
    <t>OTAP automation</t>
  </si>
  <si>
    <t>OTAP II</t>
  </si>
  <si>
    <t>Firmware Upgrade</t>
  </si>
  <si>
    <t>Firmware upgrade automation</t>
  </si>
  <si>
    <t>Power Cycle</t>
  </si>
  <si>
    <t>Power cycle validation</t>
  </si>
  <si>
    <t>Network Validation - II</t>
  </si>
  <si>
    <t>SIM Functionality</t>
  </si>
  <si>
    <t>Limited automation possible</t>
  </si>
  <si>
    <t>RTC Sync</t>
  </si>
  <si>
    <t>RTC synchronization</t>
  </si>
  <si>
    <t>Network Latch</t>
  </si>
  <si>
    <t>Final automation completion</t>
  </si>
  <si>
    <t>Module Swapping</t>
  </si>
  <si>
    <t>Automatable scenarios only</t>
  </si>
  <si>
    <t>18 Calendar Days</t>
  </si>
  <si>
    <t>~3–4 Test Cases / Day</t>
  </si>
  <si>
    <t>1-Phase</t>
  </si>
  <si>
    <t>TBD</t>
  </si>
  <si>
    <t>Display</t>
  </si>
  <si>
    <t>Nitesh</t>
  </si>
  <si>
    <t>Instantaneous (tap/HLDC)</t>
  </si>
  <si>
    <t>Maximum Demand</t>
  </si>
  <si>
    <t>Saloni</t>
  </si>
  <si>
    <t>Block Load</t>
  </si>
  <si>
    <t>Daily Load</t>
  </si>
  <si>
    <t>Billing</t>
  </si>
  <si>
    <t>Communication</t>
  </si>
  <si>
    <t>Dev</t>
  </si>
  <si>
    <t>Name Plate</t>
  </si>
  <si>
    <t>TAP</t>
  </si>
  <si>
    <t>TOD</t>
  </si>
  <si>
    <t>FW Upgrade</t>
  </si>
  <si>
    <t>DLMS Association (HDLC)</t>
  </si>
  <si>
    <t>Tamper</t>
  </si>
  <si>
    <t>Factory Reset</t>
  </si>
  <si>
    <t>Neutral Missing</t>
  </si>
  <si>
    <t>RTC Effect</t>
  </si>
  <si>
    <t>Chattering</t>
  </si>
  <si>
    <t>AC chopping</t>
  </si>
  <si>
    <t>DC Pulsating</t>
  </si>
  <si>
    <t>DC Injection</t>
  </si>
  <si>
    <t>NIC Related</t>
  </si>
  <si>
    <t>4G Fallback 2G</t>
  </si>
  <si>
    <t>Production</t>
  </si>
  <si>
    <t>Calibration</t>
  </si>
  <si>
    <t>Interruption</t>
  </si>
  <si>
    <t>Longrun</t>
  </si>
  <si>
    <t>Load Limit</t>
  </si>
  <si>
    <t>Power OFF</t>
  </si>
  <si>
    <t>Battery Consumption</t>
  </si>
  <si>
    <t>Transaction</t>
  </si>
  <si>
    <t>Periodic Push</t>
  </si>
  <si>
    <t>Event Push TAP RF</t>
  </si>
  <si>
    <t>Event Push 4G</t>
  </si>
  <si>
    <t>Periodic Push RF</t>
  </si>
  <si>
    <t>Event Push RF</t>
  </si>
  <si>
    <t>LRC (Local Relay Connection)</t>
  </si>
  <si>
    <t>TOD Push</t>
  </si>
  <si>
    <t>Bitmask</t>
  </si>
  <si>
    <t>Default Parameters</t>
  </si>
  <si>
    <t>1-Phase Meter Firmware</t>
  </si>
  <si>
    <t>~5 Test Cases / Calendar Day</t>
  </si>
  <si>
    <t>On track</t>
  </si>
  <si>
    <t xml:space="preserve">3-Phase </t>
  </si>
  <si>
    <t>Smoke Test</t>
  </si>
  <si>
    <t>3-Phase</t>
  </si>
  <si>
    <t>Battery Mode Display</t>
  </si>
  <si>
    <t>Self Diagnostic</t>
  </si>
  <si>
    <t>Nameplate</t>
  </si>
  <si>
    <t>Instantaneous Parameter</t>
  </si>
  <si>
    <t>Rising Demand</t>
  </si>
  <si>
    <t>Billing Data</t>
  </si>
  <si>
    <t>TOD Data</t>
  </si>
  <si>
    <t>MD Reset Button</t>
  </si>
  <si>
    <t>Digital Input</t>
  </si>
  <si>
    <t>Tampers Voltage Related</t>
  </si>
  <si>
    <t>Tampers Current Related</t>
  </si>
  <si>
    <t>Tamper Other Related</t>
  </si>
  <si>
    <t>Tamper Non-Rollover</t>
  </si>
  <si>
    <t>Event Power Related</t>
  </si>
  <si>
    <t>Event_Transaction Related</t>
  </si>
  <si>
    <t>GPRS Testing</t>
  </si>
  <si>
    <t>Push Notification ESWF</t>
  </si>
  <si>
    <t>Functions</t>
  </si>
  <si>
    <t>Harmonics</t>
  </si>
  <si>
    <t>Apparent Calculation</t>
  </si>
  <si>
    <t>DLMS Association &amp; Push</t>
  </si>
  <si>
    <t>AC Chopping</t>
  </si>
  <si>
    <t>DC Injection &amp; Pulsating</t>
  </si>
  <si>
    <t>Compartment</t>
  </si>
  <si>
    <t>Tamper Configuration</t>
  </si>
  <si>
    <t>3-Phase WC</t>
  </si>
  <si>
    <t>Not started Yet</t>
  </si>
  <si>
    <t>Meter Setu-Gomati</t>
  </si>
  <si>
    <t>Non-Automatable Test Cases</t>
  </si>
  <si>
    <t>Test Case ID</t>
  </si>
  <si>
    <t>Test Case Name / Description</t>
  </si>
  <si>
    <t>Reason for Non-Automation</t>
  </si>
  <si>
    <t>Manual / Alternative Validation Approach</t>
  </si>
  <si>
    <t>MA-005</t>
  </si>
  <si>
    <t>USB Connection — DLMS handshake established</t>
  </si>
  <si>
    <t>Needs a physical USB cable from phone to meter; the bench reaches meters over the TCP bridge, and plugging/unplugging is a physical action</t>
  </si>
  <si>
    <t>Manual on a real phone with the probe cable; DLMS handshake itself covered over the bridge by INT-008</t>
  </si>
  <si>
    <t>MA-010</t>
  </si>
  <si>
    <t>USB Connection — bottom sheet shows meter serial after connect</t>
  </si>
  <si>
    <t>Sheet appears only on a real USB cable connect</t>
  </si>
  <si>
    <t>Manual on a real phone with the probe cable</t>
  </si>
  <si>
    <t>FW-009</t>
  </si>
  <si>
    <t>FOTA — block retry when probe is bumped / packet dropped</t>
  </si>
  <si>
    <t>Probe must be physically misaligned during the transfer</t>
  </si>
  <si>
    <t>Manual, during a supervised firmware upgrade</t>
  </si>
  <si>
    <t>FW-010</t>
  </si>
  <si>
    <t>FOTA — cable detached mid-transfer shows interrupted state with Resume</t>
  </si>
  <si>
    <t>Cable must be physically pulled at ~30% transfer</t>
  </si>
  <si>
    <t>Day-by-Day Automation Implementation Plan</t>
  </si>
  <si>
    <t>Project / Environment</t>
  </si>
  <si>
    <t>Planned Test Cases / Module</t>
  </si>
  <si>
    <t>Automated Test Cases (Actual)</t>
  </si>
  <si>
    <t>Cumulative Automated</t>
  </si>
  <si>
    <t>Assigned To</t>
  </si>
  <si>
    <t>Gomati — Stage/Dev</t>
  </si>
  <si>
    <t>LG-005, LC-001, LC-013</t>
  </si>
  <si>
    <t>Shruti Singh</t>
  </si>
  <si>
    <t>Executed — 2 Passed, 1 Failed</t>
  </si>
  <si>
    <t>LC-003</t>
  </si>
  <si>
    <t>Executed — Passed</t>
  </si>
  <si>
    <t>TC-001, TC-002, INT-008</t>
  </si>
  <si>
    <t>Executed — All Passed</t>
  </si>
  <si>
    <t>TC-011</t>
  </si>
  <si>
    <t>LC-002, LC-006, LC-022</t>
  </si>
  <si>
    <t>LC-004, LC-014</t>
  </si>
  <si>
    <t>Executed — 1 Passed, 1 Failed</t>
  </si>
  <si>
    <t>TC-003</t>
  </si>
  <si>
    <t>SEC-002, LC-015, VAL-002, VAL-004</t>
  </si>
  <si>
    <t>LC-025, LC-026, LC-027, LC-028, LC-029</t>
  </si>
  <si>
    <t>LG-004, LG-006, TC-004, NEG-001, SEC-004, MA-011</t>
  </si>
  <si>
    <t>LC-010, LC-011</t>
  </si>
  <si>
    <t>LG-001, LG-003, AU-003, MA-001, MA-002, MA-004, DB-002, LC-008, LC-009, AU-005, VAL-005, INT-010, INT-011, LC-021</t>
  </si>
  <si>
    <t>LC-016, LC-018</t>
  </si>
  <si>
    <t>Executed — Metering Mode &amp; MD Reset controls added in v1.2.20</t>
  </si>
  <si>
    <t>INT-001, VAL-003, LG-010, LG-002, TC-005, MA-006, DB-001, NEG-006, INT-009, LC-005, DB-003, NEG-003, MA-007, LC-007, LC-012, LC-019, LC-020, MA-008, MA-009</t>
  </si>
  <si>
    <t>Executed — known v1.2.20 defects fail LG-002, TC-005, MA-006, DB-001, NEG-006, INT-009, MA-007, LC-012</t>
  </si>
  <si>
    <t>LC-030, LC-031, LC-038</t>
  </si>
  <si>
    <t>Executed — new event &amp; accuracy cards in 14-Oct v1.2.20 build</t>
  </si>
  <si>
    <t>INT-002, MA-003, FW-001, FW-002</t>
  </si>
  <si>
    <t>Executed — 2 Passed (MA-003, FW-002), 1 Failed (FW-001: no phase type on FOTA card), INT-002 rerun pending; INT-001 fixed for new WFM entry</t>
  </si>
  <si>
    <t>MA-012, NEG-004</t>
  </si>
  <si>
    <t>Planned — Screen rotation &amp; DLMS failure mid-read</t>
  </si>
  <si>
    <t>MA-013, INT-012</t>
  </si>
  <si>
    <t>Planned — Meter tabs &amp; Target Host IP (known v1.2.20 defects)</t>
  </si>
  <si>
    <t>LC-032, LC-033</t>
  </si>
  <si>
    <t>Planned — All Profile Read fresh read &amp; Smart Skip</t>
  </si>
  <si>
    <t>LC-034, LC-036</t>
  </si>
  <si>
    <t>Planned — Smart Skip cache expiry &amp; corrupt cache file</t>
  </si>
  <si>
    <t>LC-037, LC-023</t>
  </si>
  <si>
    <t>Planned — Cache per meter &amp; per-meter Utility Settings controls</t>
  </si>
  <si>
    <t>DB-004, DB-005</t>
  </si>
  <si>
    <t>Planned — Offline CSV save &amp; offline queue</t>
  </si>
  <si>
    <t>DB-006, DB-007</t>
  </si>
  <si>
    <t>Planned — Upload deletes local file &amp; network loss during upload</t>
  </si>
  <si>
    <t>ST-001</t>
  </si>
  <si>
    <t>Planned — Background sync on internet restore</t>
  </si>
  <si>
    <t>All 124 cases</t>
  </si>
  <si>
    <t>Planned — Full regression + DLMS verification + final report/email</t>
  </si>
  <si>
    <t>LG-007, LG-008, LG-009, AU-001, AU-002, AU-004, AU-006, SEC-001, SEC-003, NEG-002, INT-003, INT-004, INT-005, INT-006, INT-007, TC-006, TC-007, TC-008, TC-009, TC-010, ST-002, LC-017, LC-024, LC-035, VAL-001, FW-003, FW-004, FW-005, FW-006, FW-007, FW-008, FW-011</t>
  </si>
  <si>
    <t>On hold (30) — needs other-flavour APKs, Firebase config, Android 12 image, backend support, write/flash approval, WFM tickets that complete on the bench</t>
  </si>
  <si>
    <t>Project Completion Plan</t>
  </si>
  <si>
    <t>Total Test Cases</t>
  </si>
  <si>
    <t>Total Duration (Days)</t>
  </si>
  <si>
    <t>Daily Avg Execution</t>
  </si>
  <si>
    <t>Start Date</t>
  </si>
  <si>
    <t>Expected Completion Date</t>
  </si>
  <si>
    <t>56 Working Days</t>
  </si>
  <si>
    <t>ON TIME</t>
  </si>
  <si>
    <t>WFM Portal Stage</t>
  </si>
  <si>
    <t>MA-003</t>
  </si>
  <si>
    <t>Mobile App – Offline Mode &amp; Background Sync</t>
  </si>
  <si>
    <t>Requires real device network toggling (Airplane Mode/Wi-Fi Off). Network state changes cannot be reliably automated in CI environments.</t>
  </si>
  <si>
    <t>Perform validation on a physical Android device by disabling network, executing transactions, restoring connectivity, and verifying successful synchronization.</t>
  </si>
  <si>
    <t>MA-008</t>
  </si>
  <si>
    <t>Mobile App – Prerequisite Form Upload with Photos &amp; GPS</t>
  </si>
  <si>
    <t>Requires physical camera and GPS hardware. Mock GPS providers are restricted by the application.</t>
  </si>
  <si>
    <t>Capture images and GPS coordinates on a real device and verify successful upload.</t>
  </si>
  <si>
    <t>MA-011</t>
  </si>
  <si>
    <t>Mobile App – Device Security Check (Rooted / Emulator Detection)</t>
  </si>
  <si>
    <t>Requires a rooted Android device. Emulator execution cannot accurately validate root detection.</t>
  </si>
  <si>
    <t>Validate on a rooted device and verify that the application blocks access with the appropriate security message.</t>
  </si>
  <si>
    <t>MA-014</t>
  </si>
  <si>
    <t>Mobile App – Digital Signature Capture During SDUI Form Submission</t>
  </si>
  <si>
    <t>Requires genuine handwriting input using finger or stylus. Automated gestures do not satisfy application validation.</t>
  </si>
  <si>
    <t>Capture a signature on a physical device and verify successful storage and display.</t>
  </si>
  <si>
    <t>ST-002</t>
  </si>
  <si>
    <t>Scheduled Tasks – Daily Productivity Report Generation (00:15)</t>
  </si>
  <si>
    <t>Depends on a fixed scheduler and would require system time manipulation or midnight execution.</t>
  </si>
  <si>
    <t>Verify the report after scheduled execution and confirm the generated timestamp.</t>
  </si>
  <si>
    <t>SEC-003</t>
  </si>
  <si>
    <t>HTTPS Enforcement – HTTP Redirect to HTTPS</t>
  </si>
  <si>
    <t>Infrastructure-level validation. Browser automation cannot reliably validate HTTP 301/302 redirects and HSTS headers.</t>
  </si>
  <si>
    <t>Validate using Postman, curl, or Burp Suite.</t>
  </si>
  <si>
    <t>WFM Portal – Stage (UP)</t>
  </si>
  <si>
    <t>Login Module</t>
  </si>
  <si>
    <t>Shruti Singh</t>
  </si>
  <si>
    <t>Login module completed</t>
  </si>
  <si>
    <t>Dashboard Module</t>
  </si>
  <si>
    <t>Dashboard module completed</t>
  </si>
  <si>
    <t>Ticket Report</t>
  </si>
  <si>
    <t>Ticket Report completed</t>
  </si>
  <si>
    <t>Ticket Portal</t>
  </si>
  <si>
    <t>Ticket Portal completed</t>
  </si>
  <si>
    <t>NOMC Portal</t>
  </si>
  <si>
    <t>Planned</t>
  </si>
  <si>
    <t>QC Portal</t>
  </si>
  <si>
    <t>Manual Ticket</t>
  </si>
  <si>
    <t>Bulk Upload</t>
  </si>
  <si>
    <t>Exceptions</t>
  </si>
  <si>
    <t>Escalated Tickets</t>
  </si>
  <si>
    <t>Ticket Details</t>
  </si>
  <si>
    <t>Warehouse</t>
  </si>
  <si>
    <t>Factory File Upload</t>
  </si>
  <si>
    <t>Vendor Forward</t>
  </si>
  <si>
    <t>Vendor Return</t>
  </si>
  <si>
    <t>Vendor Material Inventory</t>
  </si>
  <si>
    <t>Material History</t>
  </si>
  <si>
    <t>Technician Management</t>
  </si>
  <si>
    <t>Vendor Profile</t>
  </si>
  <si>
    <t>Helpline 1912 Portal</t>
  </si>
  <si>
    <t>Productivity Report &amp; Field Logs</t>
  </si>
  <si>
    <t>User Management</t>
  </si>
  <si>
    <t>Role &amp; Module Permissions</t>
  </si>
  <si>
    <t>Geography &amp; Category Management</t>
  </si>
  <si>
    <t>Action, Material Lifecycle &amp; Material Type</t>
  </si>
  <si>
    <t>Phase 1 completed</t>
  </si>
  <si>
    <t>Mobile App – Part 1</t>
  </si>
  <si>
    <t>Mobile App – Part 2</t>
  </si>
  <si>
    <t>Mobile App – Part 3 + Integration</t>
  </si>
  <si>
    <t>RBAC Module</t>
  </si>
  <si>
    <t>Validation Module</t>
  </si>
  <si>
    <t>Negative Testing – Part 1</t>
  </si>
  <si>
    <t>Negative Testing – Part 2</t>
  </si>
  <si>
    <t>User Onboarding &amp; Concurrency</t>
  </si>
  <si>
    <t>SM-to-SM QC</t>
  </si>
  <si>
    <t>SLA &amp; SDUI Builder – Part 1</t>
  </si>
  <si>
    <t>SDUI, Ticket Source, Scheduled Tasks &amp; Security</t>
  </si>
  <si>
    <t>Security, System Configuration &amp; Return to Factory</t>
  </si>
  <si>
    <t>Return to Factory &amp; Warehouse Configuration</t>
  </si>
  <si>
    <t>Warehouse Configuration &amp; CIMI</t>
  </si>
  <si>
    <t>CIMI &amp; Material Returns History</t>
  </si>
  <si>
    <t>Material Returns History, AWS &amp; API Client</t>
  </si>
  <si>
    <t>API Client &amp; App Updates</t>
  </si>
  <si>
    <t>Admin Vendor Management &amp; Remaining Test Cases</t>
  </si>
  <si>
    <t>Phase 2 completed</t>
  </si>
  <si>
    <t>On Hold</t>
  </si>
  <si>
    <t>Automation is temporarily on hold due to the current priority assignment for Meter Setu App testing. WFM automation will resume after completion of the current assignment.</t>
  </si>
  <si>
    <t>Gomati -MDMS-RMS</t>
  </si>
  <si>
    <t>BDS_003</t>
  </si>
  <si>
    <t>SFTP/CSV billing data delivery (semicolon-separated, Normal Meter)</t>
  </si>
  <si>
    <r>
      <t xml:space="preserve">Describes an SFTP file delivery, not a call to </t>
    </r>
    <r>
      <rPr>
        <sz val="10"/>
        <color theme="1"/>
        <rFont val="Arial Unicode MS"/>
        <family val="2"/>
      </rPr>
      <t>/odr_billing/</t>
    </r>
    <r>
      <rPr>
        <sz val="11"/>
        <color theme="1"/>
        <rFont val="Calibri"/>
        <family val="2"/>
        <scheme val="minor"/>
      </rPr>
      <t>. No HTTP request exists to make.</t>
    </r>
  </si>
  <si>
    <t>Pull the delivered file from the SFTP drop and check the record layout manually, or add a separate SFTP client.</t>
  </si>
  <si>
    <t>BDS_004</t>
  </si>
  <si>
    <t>SFTP/CSV billing data delivery (comma-separated, Net Meter / Net Bill)</t>
  </si>
  <si>
    <t>File delivery is outside the REST surface.</t>
  </si>
  <si>
    <t>Manual file pull and layout check.</t>
  </si>
  <si>
    <t>BDS_005</t>
  </si>
  <si>
    <t>4-TOD-slot billing data (HV2 / LMV6 / LMV11)</t>
  </si>
  <si>
    <t>Requires validating CSV content, not an HTTP response.</t>
  </si>
  <si>
    <t>Open the delivered CSV and verify the four TOD slot columns per tariff.</t>
  </si>
  <si>
    <t>BDS_006</t>
  </si>
  <si>
    <t>2-TOD-slot billing data (LMV3)</t>
  </si>
  <si>
    <t>Open the delivered CSV and verify the two TOD slot columns.</t>
  </si>
  <si>
    <t>BDS_007</t>
  </si>
  <si>
    <t>Boundary: billing-data CSV field lengths and precision (doc Sec 4)</t>
  </si>
  <si>
    <t>Sec 4 field tables describe columns in MDM's monthly CSV delivery, not fields on an endpoint.</t>
  </si>
  <si>
    <t>Field-by-field check against Sec 4 on a sample delivery file.</t>
  </si>
  <si>
    <t>MADV_001</t>
  </si>
  <si>
    <t>Non-Smart to Smart meter replacement advised via WFM</t>
  </si>
  <si>
    <t>Meter Advising has no endpoint in the v2.0.6 OpenAPI spec. SFTP/CSV flow and billing happen inside CC&amp;B.</t>
  </si>
  <si>
    <t>Verify in WFM and CC&amp;B directly, with the advice file as evidence.</t>
  </si>
  <si>
    <t>MADV_002</t>
  </si>
  <si>
    <t>TOD-register re-mapping on old/new meter slot boundary mismatch</t>
  </si>
  <si>
    <t>SFTP/CSV flow with no REST endpoint exposed.</t>
  </si>
  <si>
    <t>Compare the old and new register maps in MDMS after a replacement.</t>
  </si>
  <si>
    <t>MADV_003</t>
  </si>
  <si>
    <t>Negative: Meter Advice CSV validation failures routed to Error folder</t>
  </si>
  <si>
    <t>Asserts on file routing between SFTP folders. Nothing HTTP to observe.</t>
  </si>
  <si>
    <t>Drop a deliberately malformed advice file and confirm it lands in the Error folder.</t>
  </si>
  <si>
    <t>MADV_004</t>
  </si>
  <si>
    <t>Remaining flag fields (reference row)</t>
  </si>
  <si>
    <t>A reference row inside a module that has no endpoint.</t>
  </si>
  <si>
    <t>Covered by the manual MADV checks above.</t>
  </si>
  <si>
    <t>MADV_005</t>
  </si>
  <si>
    <t>Boundary: MADV field length / range / precision (doc Sec 3.2)</t>
  </si>
  <si>
    <t>Field tables describe CSV columns, not request payload fields.</t>
  </si>
  <si>
    <t>Field-by-field check against Sec 3.2 on a sample advice file.</t>
  </si>
  <si>
    <t>NFR_003</t>
  </si>
  <si>
    <t>REST vs SOAP response contract consistency</t>
  </si>
  <si>
    <t>The live spec exposes REST/JSON only. A SOAP interface would need its own client and test set.</t>
  </si>
  <si>
    <t>Confirm with the integration team whether a SOAP interface is in scope.</t>
  </si>
  <si>
    <t>SLA_003</t>
  </si>
  <si>
    <t>Monthly Billing Data (CSV/SFTP) delivery SLA</t>
  </si>
  <si>
    <t>Measures timeliness of a file delivery to CC&amp;B, with no REST call to time.</t>
  </si>
  <si>
    <t>Track delivery timestamps on the SFTP drop across a billing cycle.</t>
  </si>
  <si>
    <t>NFR_004</t>
  </si>
  <si>
    <t>Real-time master data sync consistency across sync-type APIs</t>
  </si>
  <si>
    <t>Partially automatable. The suite sends the data, but confirming what landed needs a read-back endpoint that MDMS does not expose.</t>
  </si>
  <si>
    <t>Spot-check in the MDMS UI, or request a GET/query endpoint so the assertion can be automated.</t>
  </si>
  <si>
    <t>ABR_005, ANEC_003, IMDS_039, MBNV_003, MFC_003, NFR_005, NNBC_003, NNMC_003, PBE_003, SLA_004</t>
  </si>
  <si>
    <t>Reference rows in the source workbook (10 IDs)</t>
  </si>
  <si>
    <t>Not test cases. They describe or cross-reference other cases rather than specifying a test.</t>
  </si>
  <si>
    <t>None required.</t>
  </si>
  <si>
    <t>MDMS</t>
  </si>
  <si>
    <t>Initial Master Data Sync</t>
  </si>
  <si>
    <t>Shanvi</t>
  </si>
  <si>
    <t>25 PASS, 2 FAIL</t>
  </si>
  <si>
    <t>Initial Master Data Sync + Attribute Change</t>
  </si>
  <si>
    <t>18 PASS, 5 FAIL, 1 Not Automatable</t>
  </si>
  <si>
    <t>Attribute Change + Accept Prepaid Recharge + Account Balance Reconciliation + Reconnection &amp; Disconnection + Arrear Payment Sync + Accept Non-Energy Charges</t>
  </si>
  <si>
    <t>24 PASS, 1 FAIL, 1 Not Automatable</t>
  </si>
  <si>
    <t>Non-Energy Charges Payment Sync + Postpaid-Prepaid Conversion + Smart Meter to Smart Meter Change + Prepaid Balance Enquiry + Normal to Net Meter Change + Normal to Net Bill Change + Multiplying Factor Change</t>
  </si>
  <si>
    <t>20 PASS, 2 FAIL, 5 Not Automatable</t>
  </si>
  <si>
    <t>Multiplying Factor Change + Billing Data Sync + Meter Badge Number Validation + Cross-Cutting NFR + Meter Advising + SAT/SLA Acceptance Criteria</t>
  </si>
  <si>
    <t>5 PASS, 4 FAIL, 10 Not Automatable</t>
  </si>
  <si>
    <t>5 Working Days</t>
  </si>
  <si>
    <t>~26 Test Cases/Day</t>
  </si>
  <si>
    <t>Not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</si>
</sst>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"/>
    </font>
    <font>
      <b/>
      <sz val="11"/>
      <color theme="1"/>
      <name val="ca"/>
    </font>
    <font>
      <sz val="11"/>
      <color theme="1"/>
      <name val="ca"/>
    </font>
    <font>
      <sz val="15"/>
      <color rgb="FF242424"/>
      <name val="Helvetica Neue"/>
      <family val="2"/>
    </font>
    <font>
      <sz val="11"/>
      <color rgb="FF000000"/>
      <name val="Aptos"/>
    </font>
    <font>
      <b/>
      <sz val="11"/>
      <color rgb="FF000000"/>
      <name val="Inherit"/>
    </font>
    <font>
      <sz val="12"/>
      <color rgb="FF242424"/>
      <name val="Aptos"/>
    </font>
    <font>
      <sz val="12"/>
      <color rgb="FF000000"/>
      <name val="Aptos"/>
    </font>
    <font>
      <sz val="10"/>
      <color rgb="FF242424"/>
      <name val="Times New Roman"/>
      <family val="1"/>
    </font>
    <font>
      <sz val="11"/>
      <color rgb="FF000000"/>
      <name val="Ca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Aptos"/>
    </font>
    <font>
      <sz val="11"/>
      <color rgb="FF000000"/>
      <name val="Satoshi Medium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color rgb="FF242424"/>
      <name val="Segoe UI"/>
      <charset val="1"/>
    </font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0"/>
      <color theme="1"/>
      <name val="Arial Unicode MS"/>
      <family val="2"/>
    </font>
    <font>
      <sz val="11"/>
      <color theme="1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15" fontId="0" fillId="0" borderId="1" xfId="0" applyNumberFormat="1" applyBorder="1"/>
    <xf numFmtId="0" fontId="1" fillId="0" borderId="3" xfId="0" applyFont="1" applyBorder="1"/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10" fontId="1" fillId="0" borderId="0" xfId="0" applyNumberFormat="1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3" fontId="0" fillId="0" borderId="0" xfId="0" applyNumberFormat="1"/>
    <xf numFmtId="3" fontId="0" fillId="0" borderId="1" xfId="0" applyNumberFormat="1" applyBorder="1"/>
    <xf numFmtId="10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3" xfId="0" applyFont="1" applyBorder="1"/>
    <xf numFmtId="0" fontId="0" fillId="0" borderId="13" xfId="0" applyBorder="1"/>
    <xf numFmtId="15" fontId="0" fillId="0" borderId="13" xfId="0" applyNumberFormat="1" applyBorder="1"/>
    <xf numFmtId="9" fontId="0" fillId="0" borderId="13" xfId="0" applyNumberFormat="1" applyBorder="1"/>
    <xf numFmtId="0" fontId="7" fillId="0" borderId="13" xfId="0" applyFont="1" applyBorder="1"/>
    <xf numFmtId="0" fontId="6" fillId="0" borderId="13" xfId="0" applyFont="1" applyBorder="1"/>
    <xf numFmtId="0" fontId="8" fillId="0" borderId="0" xfId="0" applyFont="1" applyAlignment="1">
      <alignment wrapText="1"/>
    </xf>
    <xf numFmtId="0" fontId="7" fillId="0" borderId="13" xfId="0" applyFont="1" applyBorder="1" applyAlignment="1">
      <alignment wrapText="1"/>
    </xf>
    <xf numFmtId="0" fontId="8" fillId="0" borderId="13" xfId="0" applyFont="1" applyBorder="1"/>
    <xf numFmtId="14" fontId="7" fillId="0" borderId="13" xfId="0" applyNumberFormat="1" applyFont="1" applyBorder="1"/>
    <xf numFmtId="0" fontId="5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7" fillId="0" borderId="13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8" fillId="0" borderId="13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right"/>
    </xf>
    <xf numFmtId="0" fontId="11" fillId="0" borderId="0" xfId="0" applyFont="1"/>
    <xf numFmtId="0" fontId="1" fillId="0" borderId="13" xfId="0" applyFont="1" applyBorder="1" applyAlignment="1">
      <alignment horizontal="right"/>
    </xf>
    <xf numFmtId="0" fontId="10" fillId="0" borderId="13" xfId="0" applyFont="1" applyBorder="1"/>
    <xf numFmtId="0" fontId="11" fillId="0" borderId="13" xfId="0" applyFont="1" applyBorder="1"/>
    <xf numFmtId="0" fontId="12" fillId="0" borderId="13" xfId="0" applyFont="1" applyBorder="1"/>
    <xf numFmtId="10" fontId="12" fillId="0" borderId="13" xfId="0" applyNumberFormat="1" applyFont="1" applyBorder="1"/>
    <xf numFmtId="0" fontId="13" fillId="0" borderId="13" xfId="0" applyFont="1" applyBorder="1"/>
    <xf numFmtId="0" fontId="14" fillId="0" borderId="13" xfId="0" applyFont="1" applyBorder="1"/>
    <xf numFmtId="0" fontId="5" fillId="0" borderId="0" xfId="0" applyFont="1" applyAlignment="1">
      <alignment horizontal="right"/>
    </xf>
    <xf numFmtId="0" fontId="13" fillId="0" borderId="13" xfId="0" applyFont="1" applyBorder="1" applyAlignment="1">
      <alignment horizontal="right"/>
    </xf>
    <xf numFmtId="0" fontId="13" fillId="0" borderId="13" xfId="0" applyFont="1" applyBorder="1" applyAlignment="1">
      <alignment wrapText="1"/>
    </xf>
    <xf numFmtId="0" fontId="1" fillId="0" borderId="12" xfId="0" applyFont="1" applyBorder="1"/>
    <xf numFmtId="0" fontId="1" fillId="0" borderId="12" xfId="0" applyFont="1" applyBorder="1" applyAlignment="1">
      <alignment horizontal="right"/>
    </xf>
    <xf numFmtId="14" fontId="14" fillId="0" borderId="13" xfId="0" applyNumberFormat="1" applyFont="1" applyBorder="1"/>
    <xf numFmtId="0" fontId="1" fillId="0" borderId="12" xfId="0" applyFont="1" applyBorder="1" applyAlignment="1">
      <alignment wrapText="1"/>
    </xf>
    <xf numFmtId="0" fontId="9" fillId="0" borderId="13" xfId="0" applyFont="1" applyBorder="1"/>
    <xf numFmtId="10" fontId="9" fillId="0" borderId="13" xfId="0" applyNumberFormat="1" applyFont="1" applyBorder="1"/>
    <xf numFmtId="14" fontId="9" fillId="0" borderId="13" xfId="0" applyNumberFormat="1" applyFont="1" applyBorder="1"/>
    <xf numFmtId="10" fontId="11" fillId="0" borderId="13" xfId="0" applyNumberFormat="1" applyFont="1" applyBorder="1"/>
    <xf numFmtId="0" fontId="0" fillId="0" borderId="12" xfId="0" applyBorder="1"/>
    <xf numFmtId="0" fontId="11" fillId="0" borderId="13" xfId="0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0" fontId="6" fillId="0" borderId="13" xfId="0" applyFont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0" borderId="13" xfId="0" applyFont="1" applyBorder="1" applyAlignment="1">
      <alignment wrapText="1"/>
    </xf>
    <xf numFmtId="0" fontId="6" fillId="0" borderId="0" xfId="0" applyFont="1"/>
    <xf numFmtId="0" fontId="4" fillId="0" borderId="13" xfId="0" applyFont="1" applyBorder="1" applyAlignment="1">
      <alignment wrapText="1"/>
    </xf>
    <xf numFmtId="0" fontId="4" fillId="0" borderId="13" xfId="0" applyFont="1" applyBorder="1"/>
    <xf numFmtId="0" fontId="4" fillId="0" borderId="13" xfId="0" applyFont="1" applyBorder="1" applyAlignment="1">
      <alignment horizontal="right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left" wrapText="1"/>
    </xf>
    <xf numFmtId="0" fontId="12" fillId="0" borderId="13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4" fillId="0" borderId="13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/>
    </xf>
    <xf numFmtId="0" fontId="13" fillId="0" borderId="13" xfId="0" applyFont="1" applyBorder="1" applyAlignment="1">
      <alignment horizontal="left"/>
    </xf>
    <xf numFmtId="15" fontId="14" fillId="0" borderId="13" xfId="0" applyNumberFormat="1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2" fillId="0" borderId="13" xfId="0" applyFont="1" applyBorder="1" applyAlignment="1">
      <alignment wrapText="1"/>
    </xf>
    <xf numFmtId="0" fontId="6" fillId="0" borderId="0" xfId="0" applyFont="1" applyAlignment="1">
      <alignment wrapText="1"/>
    </xf>
    <xf numFmtId="0" fontId="14" fillId="0" borderId="13" xfId="0" applyFont="1" applyBorder="1" applyAlignment="1">
      <alignment horizontal="left" wrapText="1"/>
    </xf>
    <xf numFmtId="0" fontId="15" fillId="0" borderId="13" xfId="0" applyFont="1" applyBorder="1"/>
    <xf numFmtId="0" fontId="17" fillId="0" borderId="13" xfId="0" applyFont="1" applyBorder="1"/>
    <xf numFmtId="0" fontId="10" fillId="0" borderId="1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5" fillId="0" borderId="13" xfId="0" applyFont="1" applyBorder="1" applyAlignment="1">
      <alignment horizontal="left"/>
    </xf>
    <xf numFmtId="15" fontId="16" fillId="0" borderId="13" xfId="0" applyNumberFormat="1" applyFont="1" applyBorder="1" applyAlignment="1">
      <alignment horizontal="left"/>
    </xf>
    <xf numFmtId="0" fontId="16" fillId="0" borderId="13" xfId="0" applyFont="1" applyBorder="1" applyAlignment="1">
      <alignment horizontal="left"/>
    </xf>
    <xf numFmtId="0" fontId="15" fillId="0" borderId="13" xfId="0" applyFont="1" applyBorder="1" applyAlignment="1">
      <alignment horizontal="right"/>
    </xf>
    <xf numFmtId="0" fontId="17" fillId="0" borderId="13" xfId="0" applyFont="1" applyBorder="1" applyAlignment="1">
      <alignment horizontal="right"/>
    </xf>
    <xf numFmtId="14" fontId="11" fillId="0" borderId="13" xfId="0" applyNumberFormat="1" applyFont="1" applyBorder="1" applyAlignment="1">
      <alignment horizontal="right"/>
    </xf>
    <xf numFmtId="164" fontId="0" fillId="0" borderId="1" xfId="0" applyNumberFormat="1" applyBorder="1"/>
    <xf numFmtId="164" fontId="0" fillId="0" borderId="12" xfId="0" applyNumberFormat="1" applyBorder="1"/>
    <xf numFmtId="9" fontId="10" fillId="0" borderId="13" xfId="0" applyNumberFormat="1" applyFont="1" applyBorder="1"/>
    <xf numFmtId="0" fontId="18" fillId="0" borderId="1" xfId="0" applyFont="1" applyBorder="1" applyAlignment="1">
      <alignment horizontal="left" wrapText="1"/>
    </xf>
    <xf numFmtId="0" fontId="19" fillId="3" borderId="1" xfId="0" applyFont="1" applyFill="1" applyBorder="1" applyAlignment="1">
      <alignment readingOrder="1"/>
    </xf>
    <xf numFmtId="0" fontId="20" fillId="0" borderId="1" xfId="0" applyFont="1" applyBorder="1"/>
    <xf numFmtId="14" fontId="18" fillId="0" borderId="1" xfId="0" applyNumberFormat="1" applyFont="1" applyBorder="1" applyAlignment="1">
      <alignment horizontal="left" wrapText="1"/>
    </xf>
    <xf numFmtId="0" fontId="20" fillId="0" borderId="1" xfId="0" applyFont="1" applyBorder="1" applyAlignment="1">
      <alignment wrapText="1"/>
    </xf>
    <xf numFmtId="0" fontId="21" fillId="3" borderId="1" xfId="0" applyFont="1" applyFill="1" applyBorder="1" applyAlignment="1">
      <alignment wrapText="1"/>
    </xf>
    <xf numFmtId="0" fontId="0" fillId="0" borderId="13" xfId="0" applyBorder="1" applyAlignment="1">
      <alignment horizontal="left"/>
    </xf>
    <xf numFmtId="3" fontId="1" fillId="0" borderId="13" xfId="0" applyNumberFormat="1" applyFont="1" applyBorder="1"/>
    <xf numFmtId="0" fontId="20" fillId="0" borderId="3" xfId="0" applyFont="1" applyBorder="1"/>
    <xf numFmtId="0" fontId="20" fillId="0" borderId="3" xfId="0" applyFont="1" applyBorder="1" applyAlignment="1">
      <alignment wrapText="1"/>
    </xf>
    <xf numFmtId="0" fontId="21" fillId="3" borderId="3" xfId="0" applyFont="1" applyFill="1" applyBorder="1" applyAlignment="1">
      <alignment wrapText="1"/>
    </xf>
    <xf numFmtId="0" fontId="19" fillId="3" borderId="12" xfId="0" applyFont="1" applyFill="1" applyBorder="1" applyAlignment="1">
      <alignment readingOrder="1"/>
    </xf>
    <xf numFmtId="0" fontId="6" fillId="0" borderId="17" xfId="0" applyFont="1" applyBorder="1" applyAlignment="1">
      <alignment horizontal="right"/>
    </xf>
    <xf numFmtId="0" fontId="19" fillId="3" borderId="13" xfId="0" applyFont="1" applyFill="1" applyBorder="1" applyAlignment="1">
      <alignment readingOrder="1"/>
    </xf>
    <xf numFmtId="0" fontId="20" fillId="0" borderId="13" xfId="0" applyFont="1" applyBorder="1"/>
    <xf numFmtId="0" fontId="20" fillId="0" borderId="0" xfId="0" applyFont="1"/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right" vertical="center"/>
    </xf>
    <xf numFmtId="15" fontId="20" fillId="0" borderId="1" xfId="0" applyNumberFormat="1" applyFont="1" applyBorder="1"/>
    <xf numFmtId="15" fontId="20" fillId="0" borderId="18" xfId="0" applyNumberFormat="1" applyFont="1" applyBorder="1"/>
    <xf numFmtId="15" fontId="20" fillId="0" borderId="5" xfId="0" applyNumberFormat="1" applyFont="1" applyBorder="1"/>
    <xf numFmtId="0" fontId="1" fillId="0" borderId="0" xfId="0" applyFont="1" applyAlignment="1">
      <alignment horizontal="left"/>
    </xf>
    <xf numFmtId="15" fontId="0" fillId="0" borderId="0" xfId="0" applyNumberFormat="1"/>
    <xf numFmtId="10" fontId="0" fillId="0" borderId="13" xfId="0" applyNumberFormat="1" applyBorder="1"/>
    <xf numFmtId="0" fontId="23" fillId="0" borderId="19" xfId="0" applyFont="1" applyBorder="1" applyAlignment="1">
      <alignment wrapText="1"/>
    </xf>
    <xf numFmtId="0" fontId="25" fillId="5" borderId="19" xfId="0" applyFont="1" applyFill="1" applyBorder="1" applyAlignment="1">
      <alignment wrapText="1"/>
    </xf>
    <xf numFmtId="14" fontId="23" fillId="0" borderId="19" xfId="0" applyNumberFormat="1" applyFont="1" applyBorder="1" applyAlignment="1">
      <alignment wrapText="1"/>
    </xf>
    <xf numFmtId="15" fontId="23" fillId="0" borderId="19" xfId="0" applyNumberFormat="1" applyFont="1" applyBorder="1" applyAlignment="1">
      <alignment wrapText="1"/>
    </xf>
    <xf numFmtId="0" fontId="26" fillId="0" borderId="19" xfId="0" applyFont="1" applyBorder="1" applyAlignment="1">
      <alignment wrapText="1"/>
    </xf>
    <xf numFmtId="0" fontId="23" fillId="6" borderId="19" xfId="0" applyFont="1" applyFill="1" applyBorder="1" applyAlignment="1">
      <alignment wrapText="1"/>
    </xf>
    <xf numFmtId="15" fontId="23" fillId="6" borderId="19" xfId="0" applyNumberFormat="1" applyFont="1" applyFill="1" applyBorder="1" applyAlignment="1">
      <alignment wrapText="1"/>
    </xf>
    <xf numFmtId="0" fontId="26" fillId="6" borderId="19" xfId="0" applyFont="1" applyFill="1" applyBorder="1" applyAlignment="1">
      <alignment wrapText="1"/>
    </xf>
    <xf numFmtId="0" fontId="23" fillId="7" borderId="19" xfId="0" applyFont="1" applyFill="1" applyBorder="1" applyAlignment="1">
      <alignment wrapText="1"/>
    </xf>
    <xf numFmtId="0" fontId="26" fillId="7" borderId="19" xfId="0" applyFont="1" applyFill="1" applyBorder="1" applyAlignment="1">
      <alignment wrapText="1"/>
    </xf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5" fontId="14" fillId="0" borderId="13" xfId="0" applyNumberFormat="1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13" xfId="0" applyFont="1" applyBorder="1" applyAlignment="1">
      <alignment horizontal="left" wrapText="1"/>
    </xf>
    <xf numFmtId="0" fontId="3" fillId="2" borderId="0" xfId="0" applyFont="1" applyFill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4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D199-F01B-0F44-84B0-D46EEC0EB6F7}">
  <dimension ref="A1:I30"/>
  <sheetViews>
    <sheetView workbookViewId="0">
      <selection activeCell="F3" sqref="D3:F3"/>
    </sheetView>
  </sheetViews>
  <sheetFormatPr defaultColWidth="42.7109375" defaultRowHeight="15"/>
  <cols>
    <col min="1" max="1" width="42.7109375" style="32"/>
    <col min="2" max="2" width="65.28515625" style="9" bestFit="1" customWidth="1"/>
    <col min="3" max="3" width="42.7109375" style="9"/>
  </cols>
  <sheetData>
    <row r="1" spans="1:9">
      <c r="A1" s="135" t="s">
        <v>0</v>
      </c>
      <c r="B1" s="135"/>
      <c r="C1" s="135"/>
      <c r="D1" s="135"/>
      <c r="E1" s="135"/>
      <c r="F1" s="135"/>
    </row>
    <row r="2" spans="1:9" ht="15.95">
      <c r="A2" s="61" t="s">
        <v>1</v>
      </c>
      <c r="B2" s="62" t="s">
        <v>2</v>
      </c>
      <c r="C2" s="62" t="s">
        <v>3</v>
      </c>
      <c r="D2" s="19" t="s">
        <v>4</v>
      </c>
      <c r="E2" s="19" t="s">
        <v>5</v>
      </c>
      <c r="F2" s="19" t="s">
        <v>6</v>
      </c>
    </row>
    <row r="3" spans="1:9">
      <c r="A3" s="31" t="s">
        <v>7</v>
      </c>
      <c r="B3" s="26">
        <v>164</v>
      </c>
      <c r="C3" s="26">
        <v>107</v>
      </c>
      <c r="D3" s="23">
        <f>B3-C3-E3</f>
        <v>51</v>
      </c>
      <c r="E3" s="23">
        <v>6</v>
      </c>
      <c r="F3" s="20">
        <f>(C3/B3)*100</f>
        <v>65.243902439024396</v>
      </c>
    </row>
    <row r="4" spans="1:9">
      <c r="A4" s="29"/>
      <c r="B4" s="8"/>
      <c r="C4" s="8"/>
      <c r="D4" s="7"/>
      <c r="E4" s="7"/>
      <c r="F4" s="7"/>
    </row>
    <row r="5" spans="1:9">
      <c r="A5" s="29"/>
      <c r="B5" s="8"/>
      <c r="C5" s="8"/>
      <c r="D5" s="7"/>
      <c r="E5" s="7"/>
      <c r="F5" s="7"/>
    </row>
    <row r="6" spans="1:9">
      <c r="A6" s="136" t="s">
        <v>8</v>
      </c>
      <c r="B6" s="137"/>
      <c r="C6" s="137"/>
      <c r="D6" s="138"/>
      <c r="E6" s="7"/>
      <c r="F6" s="7"/>
    </row>
    <row r="7" spans="1:9" ht="15.95">
      <c r="A7" s="30" t="s">
        <v>9</v>
      </c>
      <c r="B7" s="25" t="s">
        <v>10</v>
      </c>
      <c r="C7" s="25" t="s">
        <v>11</v>
      </c>
      <c r="D7" s="27" t="s">
        <v>12</v>
      </c>
    </row>
    <row r="8" spans="1:9" ht="32.1">
      <c r="A8" s="31" t="s">
        <v>13</v>
      </c>
      <c r="B8" s="26" t="s">
        <v>14</v>
      </c>
      <c r="C8" s="26" t="s">
        <v>15</v>
      </c>
      <c r="D8" s="24"/>
    </row>
    <row r="9" spans="1:9" ht="18.95">
      <c r="A9" s="31" t="s">
        <v>16</v>
      </c>
      <c r="B9" s="26" t="s">
        <v>17</v>
      </c>
      <c r="C9" s="26" t="s">
        <v>18</v>
      </c>
      <c r="D9" s="24"/>
    </row>
    <row r="10" spans="1:9" ht="18.95">
      <c r="A10" s="31" t="s">
        <v>19</v>
      </c>
      <c r="B10" s="26" t="s">
        <v>20</v>
      </c>
      <c r="C10" s="26" t="s">
        <v>18</v>
      </c>
      <c r="D10" s="24"/>
    </row>
    <row r="11" spans="1:9" ht="32.1">
      <c r="A11" s="31" t="s">
        <v>21</v>
      </c>
      <c r="B11" s="26" t="s">
        <v>22</v>
      </c>
      <c r="C11" s="26" t="s">
        <v>23</v>
      </c>
      <c r="D11" s="24"/>
    </row>
    <row r="12" spans="1:9" ht="32.1">
      <c r="A12" s="31" t="s">
        <v>24</v>
      </c>
      <c r="B12" s="26" t="s">
        <v>25</v>
      </c>
      <c r="C12" s="26" t="s">
        <v>26</v>
      </c>
      <c r="D12" s="24"/>
    </row>
    <row r="13" spans="1:9" ht="32.1">
      <c r="A13" s="31" t="s">
        <v>27</v>
      </c>
      <c r="B13" s="26" t="s">
        <v>28</v>
      </c>
      <c r="C13" s="26" t="s">
        <v>26</v>
      </c>
      <c r="D13" s="24"/>
    </row>
    <row r="15" spans="1:9">
      <c r="A15" s="139" t="s">
        <v>29</v>
      </c>
      <c r="B15" s="140"/>
      <c r="C15" s="140"/>
      <c r="D15" s="140"/>
      <c r="E15" s="140"/>
      <c r="F15" s="140"/>
      <c r="G15" s="141"/>
    </row>
    <row r="16" spans="1:9">
      <c r="A16" s="33" t="s">
        <v>30</v>
      </c>
      <c r="B16" s="59" t="s">
        <v>1</v>
      </c>
      <c r="C16" s="59" t="s">
        <v>31</v>
      </c>
      <c r="D16" s="59" t="s">
        <v>32</v>
      </c>
      <c r="E16" s="59" t="s">
        <v>33</v>
      </c>
      <c r="F16" s="59" t="s">
        <v>34</v>
      </c>
      <c r="G16" s="59" t="s">
        <v>35</v>
      </c>
      <c r="H16" s="12"/>
      <c r="I16" s="12"/>
    </row>
    <row r="17" spans="1:9" ht="20.100000000000001">
      <c r="A17" s="93" t="s">
        <v>36</v>
      </c>
      <c r="B17" s="94" t="s">
        <v>37</v>
      </c>
      <c r="C17" s="95">
        <v>1</v>
      </c>
      <c r="D17" s="95">
        <v>1</v>
      </c>
      <c r="E17" s="104">
        <v>82</v>
      </c>
      <c r="F17" s="104" t="s">
        <v>38</v>
      </c>
      <c r="G17" s="105"/>
      <c r="H17" s="12"/>
      <c r="I17" s="12"/>
    </row>
    <row r="18" spans="1:9" ht="20.100000000000001">
      <c r="A18" s="93" t="s">
        <v>39</v>
      </c>
      <c r="B18" s="94" t="s">
        <v>37</v>
      </c>
      <c r="C18" s="95" t="s">
        <v>40</v>
      </c>
      <c r="D18" s="101">
        <v>2</v>
      </c>
      <c r="E18" s="106">
        <v>84</v>
      </c>
      <c r="F18" s="106" t="s">
        <v>38</v>
      </c>
      <c r="G18" s="60"/>
    </row>
    <row r="19" spans="1:9" ht="20.100000000000001">
      <c r="A19" s="93" t="s">
        <v>41</v>
      </c>
      <c r="B19" s="94" t="s">
        <v>37</v>
      </c>
      <c r="C19" s="95" t="s">
        <v>42</v>
      </c>
      <c r="D19" s="101">
        <v>2</v>
      </c>
      <c r="E19" s="107">
        <v>86</v>
      </c>
      <c r="F19" s="106" t="s">
        <v>38</v>
      </c>
      <c r="G19" s="60"/>
    </row>
    <row r="20" spans="1:9" ht="20.100000000000001">
      <c r="A20" s="93" t="s">
        <v>43</v>
      </c>
      <c r="B20" s="94" t="s">
        <v>37</v>
      </c>
      <c r="C20" s="95" t="s">
        <v>44</v>
      </c>
      <c r="D20" s="101">
        <v>2</v>
      </c>
      <c r="E20" s="107">
        <v>88</v>
      </c>
      <c r="F20" s="106" t="s">
        <v>38</v>
      </c>
      <c r="G20" s="60"/>
    </row>
    <row r="21" spans="1:9" ht="20.100000000000001">
      <c r="A21" s="93" t="s">
        <v>45</v>
      </c>
      <c r="B21" s="94" t="s">
        <v>37</v>
      </c>
      <c r="C21" s="95" t="s">
        <v>46</v>
      </c>
      <c r="D21" s="101">
        <v>10</v>
      </c>
      <c r="E21" s="107">
        <v>98</v>
      </c>
      <c r="F21" s="106" t="s">
        <v>38</v>
      </c>
      <c r="G21" s="60"/>
    </row>
    <row r="22" spans="1:9" ht="20.100000000000001">
      <c r="A22" s="96">
        <v>46181</v>
      </c>
      <c r="B22" s="94" t="s">
        <v>37</v>
      </c>
      <c r="C22" s="97" t="s">
        <v>47</v>
      </c>
      <c r="D22" s="102">
        <v>33</v>
      </c>
      <c r="E22" s="107">
        <v>131</v>
      </c>
      <c r="F22" s="106" t="s">
        <v>38</v>
      </c>
      <c r="G22" s="60"/>
    </row>
    <row r="23" spans="1:9" ht="20.100000000000001">
      <c r="A23" s="96">
        <v>46303</v>
      </c>
      <c r="B23" s="94" t="s">
        <v>37</v>
      </c>
      <c r="C23" s="97" t="s">
        <v>48</v>
      </c>
      <c r="D23" s="102">
        <v>8</v>
      </c>
      <c r="E23" s="107">
        <v>139</v>
      </c>
      <c r="F23" s="106" t="s">
        <v>38</v>
      </c>
      <c r="G23" s="60"/>
    </row>
    <row r="24" spans="1:9" ht="20.100000000000001">
      <c r="A24" s="96">
        <v>46364</v>
      </c>
      <c r="B24" s="94" t="s">
        <v>37</v>
      </c>
      <c r="C24" s="97" t="s">
        <v>49</v>
      </c>
      <c r="D24" s="102">
        <v>3</v>
      </c>
      <c r="E24" s="107">
        <v>142</v>
      </c>
      <c r="F24" s="106" t="s">
        <v>38</v>
      </c>
      <c r="G24" s="60"/>
    </row>
    <row r="25" spans="1:9" ht="17.100000000000001">
      <c r="A25" s="96">
        <v>46364</v>
      </c>
      <c r="B25" s="94" t="s">
        <v>37</v>
      </c>
      <c r="C25" s="98" t="s">
        <v>50</v>
      </c>
      <c r="D25" s="103">
        <v>3</v>
      </c>
      <c r="E25" s="107">
        <v>145</v>
      </c>
      <c r="F25" s="106" t="s">
        <v>38</v>
      </c>
      <c r="G25" s="20"/>
    </row>
    <row r="26" spans="1:9" ht="17.100000000000001">
      <c r="A26" s="93" t="s">
        <v>51</v>
      </c>
      <c r="B26" s="94" t="s">
        <v>37</v>
      </c>
      <c r="C26" s="98" t="s">
        <v>52</v>
      </c>
      <c r="D26" s="103">
        <v>19</v>
      </c>
      <c r="E26" s="107">
        <v>164</v>
      </c>
      <c r="F26" s="106" t="s">
        <v>38</v>
      </c>
      <c r="G26" s="20"/>
    </row>
    <row r="28" spans="1:9">
      <c r="A28" s="142" t="s">
        <v>53</v>
      </c>
      <c r="B28" s="143"/>
      <c r="C28" s="143"/>
      <c r="D28" s="143"/>
      <c r="E28" s="143"/>
      <c r="F28" s="143"/>
      <c r="G28" s="143"/>
      <c r="H28" s="12"/>
      <c r="I28" s="12"/>
    </row>
    <row r="29" spans="1:9">
      <c r="A29" s="34" t="s">
        <v>1</v>
      </c>
      <c r="B29" s="34" t="s">
        <v>2</v>
      </c>
      <c r="C29" s="34" t="s">
        <v>54</v>
      </c>
      <c r="D29" s="34" t="s">
        <v>55</v>
      </c>
      <c r="E29" s="34" t="s">
        <v>56</v>
      </c>
      <c r="F29" s="34" t="s">
        <v>57</v>
      </c>
      <c r="G29" s="34" t="s">
        <v>58</v>
      </c>
      <c r="H29" s="12"/>
      <c r="I29" s="12"/>
    </row>
    <row r="30" spans="1:9">
      <c r="A30" s="31" t="s">
        <v>37</v>
      </c>
      <c r="B30" s="23">
        <v>164</v>
      </c>
      <c r="C30" s="23">
        <v>48</v>
      </c>
      <c r="D30" s="23">
        <v>3</v>
      </c>
      <c r="E30" s="28">
        <v>46192</v>
      </c>
      <c r="F30" s="93" t="s">
        <v>51</v>
      </c>
      <c r="G30" s="23" t="s">
        <v>59</v>
      </c>
      <c r="H30" s="12"/>
      <c r="I30" s="12"/>
    </row>
  </sheetData>
  <mergeCells count="4">
    <mergeCell ref="A1:F1"/>
    <mergeCell ref="A6:D6"/>
    <mergeCell ref="A15:G15"/>
    <mergeCell ref="A28:G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AB3F-518D-4017-A396-8CBD90F702DC}">
  <dimension ref="A1:I22"/>
  <sheetViews>
    <sheetView workbookViewId="0">
      <selection activeCell="D3" sqref="D3"/>
    </sheetView>
  </sheetViews>
  <sheetFormatPr defaultColWidth="42.7109375" defaultRowHeight="15"/>
  <cols>
    <col min="1" max="1" width="42.7109375" style="9"/>
  </cols>
  <sheetData>
    <row r="1" spans="1:7">
      <c r="A1" s="135" t="s">
        <v>0</v>
      </c>
      <c r="B1" s="135"/>
      <c r="C1" s="135"/>
      <c r="D1" s="135"/>
      <c r="E1" s="135"/>
      <c r="F1" s="135"/>
    </row>
    <row r="2" spans="1:7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</row>
    <row r="3" spans="1:7">
      <c r="A3" s="20" t="s">
        <v>60</v>
      </c>
      <c r="B3" s="20">
        <v>164</v>
      </c>
      <c r="C3" s="20">
        <v>133</v>
      </c>
      <c r="D3" s="20">
        <f>B3-C3-E3</f>
        <v>25</v>
      </c>
      <c r="E3" s="20">
        <v>6</v>
      </c>
      <c r="F3" s="20">
        <f>(C3/B3)*100</f>
        <v>81.097560975609767</v>
      </c>
    </row>
    <row r="4" spans="1:7">
      <c r="A4" s="8"/>
      <c r="B4" s="7"/>
      <c r="C4" s="7"/>
      <c r="D4" s="7"/>
      <c r="E4" s="7"/>
      <c r="F4" s="7"/>
    </row>
    <row r="5" spans="1:7">
      <c r="A5" s="8"/>
      <c r="B5" s="7"/>
      <c r="C5" s="7"/>
      <c r="D5" s="7"/>
      <c r="E5" s="7"/>
      <c r="F5" s="7"/>
    </row>
    <row r="6" spans="1:7">
      <c r="A6" s="136" t="s">
        <v>8</v>
      </c>
      <c r="B6" s="137"/>
      <c r="C6" s="137"/>
      <c r="D6" s="138"/>
      <c r="E6" s="7"/>
      <c r="F6" s="7"/>
    </row>
    <row r="7" spans="1:7">
      <c r="A7" s="1" t="s">
        <v>9</v>
      </c>
      <c r="B7" s="1" t="s">
        <v>10</v>
      </c>
      <c r="C7" s="1" t="s">
        <v>11</v>
      </c>
      <c r="D7" s="1" t="s">
        <v>61</v>
      </c>
      <c r="E7" s="7"/>
      <c r="F7" s="7"/>
    </row>
    <row r="8" spans="1:7">
      <c r="A8" t="s">
        <v>62</v>
      </c>
      <c r="B8" t="s">
        <v>63</v>
      </c>
      <c r="C8" t="s">
        <v>64</v>
      </c>
      <c r="D8" t="s">
        <v>65</v>
      </c>
      <c r="E8" s="7"/>
      <c r="F8" s="7"/>
    </row>
    <row r="10" spans="1:7">
      <c r="A10" s="139" t="s">
        <v>29</v>
      </c>
      <c r="B10" s="140"/>
      <c r="C10" s="140"/>
      <c r="D10" s="140"/>
      <c r="E10" s="140"/>
      <c r="F10" s="140"/>
      <c r="G10" s="141"/>
    </row>
    <row r="11" spans="1:7">
      <c r="A11" s="2" t="s">
        <v>30</v>
      </c>
      <c r="B11" s="2" t="s">
        <v>1</v>
      </c>
      <c r="C11" s="2" t="s">
        <v>31</v>
      </c>
      <c r="D11" s="2" t="s">
        <v>32</v>
      </c>
      <c r="E11" s="6" t="s">
        <v>33</v>
      </c>
      <c r="F11" s="2" t="s">
        <v>34</v>
      </c>
      <c r="G11" s="2" t="s">
        <v>35</v>
      </c>
    </row>
    <row r="12" spans="1:7" ht="15.95">
      <c r="A12" s="5">
        <v>46197</v>
      </c>
      <c r="B12" s="94" t="s">
        <v>66</v>
      </c>
      <c r="C12" s="95" t="s">
        <v>44</v>
      </c>
      <c r="D12" s="94">
        <v>2</v>
      </c>
      <c r="E12" s="94">
        <v>101</v>
      </c>
      <c r="F12" s="94" t="s">
        <v>38</v>
      </c>
      <c r="G12" s="3"/>
    </row>
    <row r="13" spans="1:7" ht="15.95">
      <c r="A13" s="5">
        <v>46205</v>
      </c>
      <c r="B13" s="94" t="s">
        <v>66</v>
      </c>
      <c r="C13" s="95" t="s">
        <v>42</v>
      </c>
      <c r="D13" s="95">
        <v>2</v>
      </c>
      <c r="E13" s="95">
        <v>103</v>
      </c>
      <c r="F13" s="94" t="s">
        <v>38</v>
      </c>
      <c r="G13" s="3"/>
    </row>
    <row r="14" spans="1:7" ht="15.95">
      <c r="A14" s="5">
        <v>46211</v>
      </c>
      <c r="B14" s="94" t="s">
        <v>66</v>
      </c>
      <c r="C14" s="95" t="s">
        <v>47</v>
      </c>
      <c r="D14" s="95">
        <v>36</v>
      </c>
      <c r="E14" s="95">
        <f>D14+E13</f>
        <v>139</v>
      </c>
      <c r="F14" s="94" t="s">
        <v>38</v>
      </c>
      <c r="G14" s="3"/>
    </row>
    <row r="15" spans="1:7" ht="15.95">
      <c r="A15" s="5">
        <v>46211</v>
      </c>
      <c r="B15" s="94" t="s">
        <v>66</v>
      </c>
      <c r="C15" s="95" t="s">
        <v>49</v>
      </c>
      <c r="D15" s="95">
        <v>4</v>
      </c>
      <c r="E15" s="95">
        <f t="shared" ref="E15:E18" si="0">D15+E14</f>
        <v>143</v>
      </c>
      <c r="F15" s="94" t="s">
        <v>38</v>
      </c>
      <c r="G15" s="3"/>
    </row>
    <row r="16" spans="1:7" ht="17.100000000000001">
      <c r="A16" s="5">
        <v>46244</v>
      </c>
      <c r="B16" s="94" t="s">
        <v>66</v>
      </c>
      <c r="C16" s="97" t="s">
        <v>48</v>
      </c>
      <c r="D16" s="97">
        <v>8</v>
      </c>
      <c r="E16" s="95">
        <f t="shared" si="0"/>
        <v>151</v>
      </c>
      <c r="F16" s="94" t="s">
        <v>38</v>
      </c>
      <c r="G16" s="3"/>
    </row>
    <row r="17" spans="1:9" ht="17.100000000000001">
      <c r="A17" s="5">
        <v>46246</v>
      </c>
      <c r="B17" s="108" t="s">
        <v>66</v>
      </c>
      <c r="C17" s="98" t="s">
        <v>50</v>
      </c>
      <c r="D17" s="98">
        <v>3</v>
      </c>
      <c r="E17" s="95">
        <f t="shared" si="0"/>
        <v>154</v>
      </c>
      <c r="F17" s="94" t="s">
        <v>38</v>
      </c>
      <c r="G17" s="3"/>
    </row>
    <row r="18" spans="1:9" ht="15.95">
      <c r="A18" s="5">
        <v>46252</v>
      </c>
      <c r="B18" s="94" t="s">
        <v>66</v>
      </c>
      <c r="C18" s="95" t="s">
        <v>67</v>
      </c>
      <c r="D18" s="95">
        <v>10</v>
      </c>
      <c r="E18" s="95">
        <f t="shared" si="0"/>
        <v>164</v>
      </c>
      <c r="F18" s="94" t="s">
        <v>38</v>
      </c>
      <c r="G18" s="3"/>
    </row>
    <row r="19" spans="1:9">
      <c r="A19" s="5"/>
    </row>
    <row r="20" spans="1:9">
      <c r="A20" s="142" t="s">
        <v>53</v>
      </c>
      <c r="B20" s="143"/>
      <c r="C20" s="143"/>
      <c r="D20" s="143"/>
      <c r="E20" s="143"/>
      <c r="F20" s="143"/>
      <c r="G20" s="143"/>
      <c r="H20" s="12"/>
      <c r="I20" s="12"/>
    </row>
    <row r="21" spans="1:9">
      <c r="A21" s="34" t="s">
        <v>1</v>
      </c>
      <c r="B21" s="34" t="s">
        <v>2</v>
      </c>
      <c r="C21" s="34" t="s">
        <v>54</v>
      </c>
      <c r="D21" s="34" t="s">
        <v>55</v>
      </c>
      <c r="E21" s="34" t="s">
        <v>56</v>
      </c>
      <c r="F21" s="34" t="s">
        <v>57</v>
      </c>
      <c r="G21" s="34" t="s">
        <v>58</v>
      </c>
      <c r="H21" s="12"/>
      <c r="I21" s="12"/>
    </row>
    <row r="22" spans="1:9">
      <c r="A22" s="23" t="s">
        <v>66</v>
      </c>
      <c r="B22" s="23">
        <v>168</v>
      </c>
      <c r="C22" s="23">
        <v>48</v>
      </c>
      <c r="D22" s="23">
        <v>3</v>
      </c>
      <c r="E22" s="28">
        <v>46192</v>
      </c>
      <c r="F22" s="5">
        <v>46252</v>
      </c>
      <c r="G22" s="23" t="s">
        <v>59</v>
      </c>
      <c r="H22" s="12"/>
      <c r="I22" s="12"/>
    </row>
  </sheetData>
  <mergeCells count="4">
    <mergeCell ref="A1:F1"/>
    <mergeCell ref="A6:D6"/>
    <mergeCell ref="A10:G10"/>
    <mergeCell ref="A20:G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EB16-F18F-40EC-AC41-EE118A107AAE}">
  <dimension ref="A1:G54"/>
  <sheetViews>
    <sheetView zoomScale="93" workbookViewId="0">
      <selection activeCell="G57" sqref="G57"/>
    </sheetView>
  </sheetViews>
  <sheetFormatPr defaultColWidth="8.85546875" defaultRowHeight="15"/>
  <cols>
    <col min="1" max="1" width="53.85546875" style="32" customWidth="1"/>
    <col min="2" max="2" width="49.42578125" bestFit="1" customWidth="1"/>
    <col min="3" max="3" width="33.85546875" style="9" bestFit="1" customWidth="1"/>
    <col min="4" max="4" width="44.28515625" style="36" bestFit="1" customWidth="1"/>
    <col min="5" max="5" width="52" style="36" bestFit="1" customWidth="1"/>
    <col min="6" max="6" width="27.7109375" bestFit="1" customWidth="1"/>
    <col min="7" max="7" width="57.85546875" style="9" customWidth="1"/>
  </cols>
  <sheetData>
    <row r="1" spans="1:7">
      <c r="A1" s="135" t="s">
        <v>0</v>
      </c>
      <c r="B1" s="135"/>
      <c r="C1" s="135"/>
      <c r="D1" s="135"/>
      <c r="E1" s="135"/>
      <c r="F1" s="135"/>
    </row>
    <row r="2" spans="1:7" ht="15.95">
      <c r="A2" s="69" t="s">
        <v>1</v>
      </c>
      <c r="B2" s="65" t="s">
        <v>2</v>
      </c>
      <c r="C2" s="64" t="s">
        <v>3</v>
      </c>
      <c r="D2" s="66" t="s">
        <v>4</v>
      </c>
      <c r="E2" s="66" t="s">
        <v>5</v>
      </c>
      <c r="F2" s="65" t="s">
        <v>6</v>
      </c>
    </row>
    <row r="3" spans="1:7" ht="18.95">
      <c r="A3" s="70" t="s">
        <v>68</v>
      </c>
      <c r="B3" s="42">
        <v>603</v>
      </c>
      <c r="C3" s="77" t="s">
        <v>69</v>
      </c>
      <c r="D3" s="42">
        <f>603-460-E3</f>
        <v>119</v>
      </c>
      <c r="E3" s="42">
        <v>24</v>
      </c>
      <c r="F3" s="43">
        <v>0.80559999999999998</v>
      </c>
      <c r="G3" s="78"/>
    </row>
    <row r="4" spans="1:7" ht="18.95">
      <c r="A4" s="71"/>
      <c r="B4" s="63"/>
      <c r="C4" s="78"/>
      <c r="D4" s="63"/>
      <c r="E4"/>
    </row>
    <row r="5" spans="1:7">
      <c r="A5" s="29"/>
      <c r="B5" s="7"/>
      <c r="C5" s="8"/>
      <c r="D5" s="46"/>
      <c r="E5" s="46"/>
      <c r="F5" s="7"/>
    </row>
    <row r="6" spans="1:7">
      <c r="A6" s="144" t="s">
        <v>8</v>
      </c>
      <c r="B6" s="144"/>
      <c r="C6" s="144"/>
      <c r="D6" s="144"/>
      <c r="E6" s="46"/>
      <c r="F6" s="7"/>
    </row>
    <row r="7" spans="1:7" ht="15.95">
      <c r="A7" s="72" t="s">
        <v>9</v>
      </c>
      <c r="B7" s="68" t="s">
        <v>10</v>
      </c>
      <c r="C7" s="67" t="s">
        <v>11</v>
      </c>
      <c r="D7" s="68" t="s">
        <v>61</v>
      </c>
      <c r="E7" s="46"/>
      <c r="F7" s="7"/>
    </row>
    <row r="8" spans="1:7">
      <c r="A8" s="73" t="s">
        <v>70</v>
      </c>
      <c r="B8" s="146" t="s">
        <v>71</v>
      </c>
      <c r="C8" s="147" t="s">
        <v>72</v>
      </c>
      <c r="D8" s="146" t="s">
        <v>73</v>
      </c>
      <c r="E8"/>
    </row>
    <row r="9" spans="1:7">
      <c r="A9" s="73" t="s">
        <v>74</v>
      </c>
      <c r="B9" s="146"/>
      <c r="C9" s="147"/>
      <c r="D9" s="146"/>
      <c r="E9"/>
    </row>
    <row r="10" spans="1:7">
      <c r="A10" s="73" t="s">
        <v>75</v>
      </c>
      <c r="B10" s="146"/>
      <c r="C10" s="147"/>
      <c r="D10" s="146"/>
      <c r="E10"/>
    </row>
    <row r="11" spans="1:7">
      <c r="A11" s="73" t="s">
        <v>76</v>
      </c>
      <c r="B11" s="146"/>
      <c r="C11" s="147"/>
      <c r="D11" s="146"/>
      <c r="E11"/>
    </row>
    <row r="12" spans="1:7">
      <c r="A12" s="73" t="s">
        <v>77</v>
      </c>
      <c r="B12" s="146"/>
      <c r="C12" s="147"/>
      <c r="D12" s="146"/>
      <c r="E12"/>
    </row>
    <row r="13" spans="1:7">
      <c r="A13" s="73" t="s">
        <v>78</v>
      </c>
      <c r="B13" s="146"/>
      <c r="C13" s="147"/>
      <c r="D13" s="146"/>
      <c r="E13"/>
    </row>
    <row r="14" spans="1:7">
      <c r="A14" s="73" t="s">
        <v>79</v>
      </c>
      <c r="B14" s="146"/>
      <c r="C14" s="147"/>
      <c r="D14" s="146"/>
      <c r="E14"/>
    </row>
    <row r="15" spans="1:7">
      <c r="A15" s="73" t="s">
        <v>80</v>
      </c>
      <c r="B15" s="146"/>
      <c r="C15" s="147"/>
      <c r="D15" s="146"/>
      <c r="E15"/>
    </row>
    <row r="16" spans="1:7">
      <c r="A16" s="73" t="s">
        <v>81</v>
      </c>
      <c r="B16" s="146"/>
      <c r="C16" s="147"/>
      <c r="D16" s="146"/>
      <c r="E16"/>
    </row>
    <row r="17" spans="1:5">
      <c r="A17" s="73" t="s">
        <v>82</v>
      </c>
      <c r="B17" s="146"/>
      <c r="C17" s="147"/>
      <c r="D17" s="146"/>
      <c r="E17"/>
    </row>
    <row r="18" spans="1:5">
      <c r="A18" s="73" t="s">
        <v>83</v>
      </c>
      <c r="B18" s="146"/>
      <c r="C18" s="147"/>
      <c r="D18" s="146"/>
      <c r="E18"/>
    </row>
    <row r="19" spans="1:5">
      <c r="A19" s="73" t="s">
        <v>84</v>
      </c>
      <c r="B19" s="146"/>
      <c r="C19" s="147"/>
      <c r="D19" s="146"/>
      <c r="E19"/>
    </row>
    <row r="20" spans="1:5">
      <c r="A20" s="73" t="s">
        <v>85</v>
      </c>
      <c r="B20" s="146"/>
      <c r="C20" s="147"/>
      <c r="D20" s="146"/>
      <c r="E20"/>
    </row>
    <row r="21" spans="1:5">
      <c r="A21" s="73" t="s">
        <v>86</v>
      </c>
      <c r="B21" s="146"/>
      <c r="C21" s="147"/>
      <c r="D21" s="146"/>
      <c r="E21"/>
    </row>
    <row r="22" spans="1:5">
      <c r="A22" s="73" t="s">
        <v>87</v>
      </c>
      <c r="B22" s="146"/>
      <c r="C22" s="147"/>
      <c r="D22" s="146"/>
      <c r="E22"/>
    </row>
    <row r="23" spans="1:5">
      <c r="A23" s="73" t="s">
        <v>88</v>
      </c>
      <c r="B23" s="146"/>
      <c r="C23" s="147"/>
      <c r="D23" s="146"/>
      <c r="E23"/>
    </row>
    <row r="24" spans="1:5">
      <c r="A24" s="73" t="s">
        <v>89</v>
      </c>
      <c r="B24" s="146"/>
      <c r="C24" s="147"/>
      <c r="D24" s="146"/>
      <c r="E24"/>
    </row>
    <row r="25" spans="1:5">
      <c r="A25" s="73" t="s">
        <v>90</v>
      </c>
      <c r="B25" s="146"/>
      <c r="C25" s="147"/>
      <c r="D25" s="146"/>
      <c r="E25"/>
    </row>
    <row r="26" spans="1:5">
      <c r="A26" s="73" t="s">
        <v>91</v>
      </c>
      <c r="B26" s="146"/>
      <c r="C26" s="147"/>
      <c r="D26" s="146"/>
      <c r="E26"/>
    </row>
    <row r="27" spans="1:5">
      <c r="A27" s="73" t="s">
        <v>92</v>
      </c>
      <c r="B27" s="146"/>
      <c r="C27" s="147"/>
      <c r="D27" s="146"/>
      <c r="E27"/>
    </row>
    <row r="28" spans="1:5">
      <c r="A28" s="73" t="s">
        <v>93</v>
      </c>
      <c r="B28" s="146"/>
      <c r="C28" s="147"/>
      <c r="D28" s="146"/>
      <c r="E28"/>
    </row>
    <row r="29" spans="1:5">
      <c r="A29" s="73" t="s">
        <v>94</v>
      </c>
      <c r="B29" s="146"/>
      <c r="C29" s="147"/>
      <c r="D29" s="146"/>
      <c r="E29"/>
    </row>
    <row r="30" spans="1:5">
      <c r="A30" s="73" t="s">
        <v>95</v>
      </c>
      <c r="B30" s="146"/>
      <c r="C30" s="147"/>
      <c r="D30" s="146"/>
      <c r="E30"/>
    </row>
    <row r="31" spans="1:5">
      <c r="A31" s="73" t="s">
        <v>96</v>
      </c>
      <c r="B31" s="146"/>
      <c r="C31" s="147"/>
      <c r="D31" s="146"/>
      <c r="E31"/>
    </row>
    <row r="32" spans="1:5">
      <c r="A32" s="73" t="s">
        <v>97</v>
      </c>
      <c r="B32" s="146"/>
      <c r="C32" s="147"/>
      <c r="D32" s="146"/>
      <c r="E32"/>
    </row>
    <row r="33" spans="1:7">
      <c r="A33" s="73" t="s">
        <v>98</v>
      </c>
      <c r="B33" s="146"/>
      <c r="C33" s="147"/>
      <c r="D33" s="146"/>
      <c r="E33"/>
    </row>
    <row r="34" spans="1:7">
      <c r="A34" s="73" t="s">
        <v>99</v>
      </c>
      <c r="B34" s="146"/>
      <c r="C34" s="147"/>
      <c r="D34" s="146"/>
      <c r="E34"/>
    </row>
    <row r="35" spans="1:7">
      <c r="A35" s="73" t="s">
        <v>100</v>
      </c>
      <c r="B35" s="146"/>
      <c r="C35" s="147"/>
      <c r="D35" s="146"/>
      <c r="E35"/>
    </row>
    <row r="36" spans="1:7">
      <c r="A36" s="73" t="s">
        <v>101</v>
      </c>
      <c r="B36" s="146"/>
      <c r="C36" s="147"/>
      <c r="D36" s="146"/>
      <c r="E36"/>
    </row>
    <row r="37" spans="1:7">
      <c r="A37" s="73" t="s">
        <v>102</v>
      </c>
      <c r="B37" s="146"/>
      <c r="C37" s="147"/>
      <c r="D37" s="146"/>
      <c r="E37"/>
    </row>
    <row r="38" spans="1:7">
      <c r="A38" s="73" t="s">
        <v>103</v>
      </c>
      <c r="B38" s="146"/>
      <c r="C38" s="147"/>
      <c r="D38" s="146"/>
      <c r="E38"/>
    </row>
    <row r="39" spans="1:7">
      <c r="A39" s="73" t="s">
        <v>104</v>
      </c>
      <c r="B39" s="146"/>
      <c r="C39" s="147"/>
      <c r="D39" s="146"/>
      <c r="E39"/>
    </row>
    <row r="41" spans="1:7">
      <c r="A41" s="139" t="s">
        <v>29</v>
      </c>
      <c r="B41" s="140"/>
      <c r="C41" s="140"/>
      <c r="D41" s="140"/>
      <c r="E41" s="140"/>
      <c r="F41" s="140"/>
      <c r="G41" s="141"/>
    </row>
    <row r="42" spans="1:7" ht="15.95">
      <c r="A42" s="74" t="s">
        <v>30</v>
      </c>
      <c r="B42" s="44" t="s">
        <v>1</v>
      </c>
      <c r="C42" s="48" t="s">
        <v>31</v>
      </c>
      <c r="D42" s="47" t="s">
        <v>32</v>
      </c>
      <c r="E42" s="47" t="s">
        <v>33</v>
      </c>
      <c r="F42" s="44" t="s">
        <v>34</v>
      </c>
      <c r="G42" s="48" t="s">
        <v>35</v>
      </c>
    </row>
    <row r="43" spans="1:7" ht="32.1">
      <c r="A43" s="75">
        <v>46216</v>
      </c>
      <c r="B43" s="76" t="s">
        <v>105</v>
      </c>
      <c r="C43" s="79" t="s">
        <v>106</v>
      </c>
      <c r="D43" s="76">
        <v>30</v>
      </c>
      <c r="E43" s="76">
        <v>30</v>
      </c>
      <c r="F43" s="76" t="s">
        <v>107</v>
      </c>
      <c r="G43" s="79" t="s">
        <v>108</v>
      </c>
    </row>
    <row r="44" spans="1:7" ht="32.1">
      <c r="A44" s="75">
        <v>46218</v>
      </c>
      <c r="B44" s="76" t="s">
        <v>105</v>
      </c>
      <c r="C44" s="79" t="s">
        <v>109</v>
      </c>
      <c r="D44" s="76">
        <v>216</v>
      </c>
      <c r="E44" s="76">
        <v>246</v>
      </c>
      <c r="F44" s="76" t="s">
        <v>107</v>
      </c>
      <c r="G44" s="79" t="s">
        <v>108</v>
      </c>
    </row>
    <row r="45" spans="1:7" ht="48">
      <c r="A45" s="75">
        <v>46223</v>
      </c>
      <c r="B45" s="76" t="s">
        <v>105</v>
      </c>
      <c r="C45" s="79" t="s">
        <v>110</v>
      </c>
      <c r="D45" s="76">
        <v>118</v>
      </c>
      <c r="E45" s="76">
        <v>364</v>
      </c>
      <c r="F45" s="76" t="s">
        <v>107</v>
      </c>
      <c r="G45" s="79" t="s">
        <v>108</v>
      </c>
    </row>
    <row r="46" spans="1:7" ht="32.1">
      <c r="A46" s="75">
        <v>46225</v>
      </c>
      <c r="B46" s="76" t="s">
        <v>105</v>
      </c>
      <c r="C46" s="79" t="s">
        <v>111</v>
      </c>
      <c r="D46" s="76">
        <v>96</v>
      </c>
      <c r="E46" s="76">
        <v>460</v>
      </c>
      <c r="F46" s="76" t="s">
        <v>107</v>
      </c>
      <c r="G46" s="79" t="s">
        <v>108</v>
      </c>
    </row>
    <row r="47" spans="1:7" ht="15.95">
      <c r="A47" s="148">
        <v>46276</v>
      </c>
      <c r="B47" s="149" t="s">
        <v>112</v>
      </c>
      <c r="C47" s="150" t="s">
        <v>113</v>
      </c>
      <c r="D47" s="149">
        <v>103</v>
      </c>
      <c r="E47" s="149" t="s">
        <v>73</v>
      </c>
      <c r="F47" s="149" t="s">
        <v>107</v>
      </c>
      <c r="G47" s="79" t="s">
        <v>114</v>
      </c>
    </row>
    <row r="48" spans="1:7" ht="15.95">
      <c r="A48" s="148"/>
      <c r="B48" s="149"/>
      <c r="C48" s="150"/>
      <c r="D48" s="149"/>
      <c r="E48" s="149"/>
      <c r="F48" s="149"/>
      <c r="G48" s="79" t="s">
        <v>115</v>
      </c>
    </row>
    <row r="49" spans="1:7" ht="15.95">
      <c r="A49" s="148"/>
      <c r="B49" s="149"/>
      <c r="C49" s="150"/>
      <c r="D49" s="149"/>
      <c r="E49" s="149"/>
      <c r="F49" s="149"/>
      <c r="G49" s="79" t="s">
        <v>116</v>
      </c>
    </row>
    <row r="52" spans="1:7">
      <c r="A52" s="145" t="s">
        <v>53</v>
      </c>
      <c r="B52" s="127"/>
      <c r="C52" s="127"/>
      <c r="D52" s="127"/>
      <c r="E52" s="127"/>
      <c r="F52" s="143"/>
      <c r="G52" s="143"/>
    </row>
    <row r="53" spans="1:7" ht="15.95">
      <c r="A53" s="34" t="s">
        <v>1</v>
      </c>
      <c r="B53" s="49" t="s">
        <v>2</v>
      </c>
      <c r="C53" s="52" t="s">
        <v>54</v>
      </c>
      <c r="D53" s="50" t="s">
        <v>55</v>
      </c>
      <c r="E53" s="50" t="s">
        <v>56</v>
      </c>
      <c r="F53" s="1" t="s">
        <v>57</v>
      </c>
      <c r="G53" s="18" t="s">
        <v>58</v>
      </c>
    </row>
    <row r="54" spans="1:7">
      <c r="A54" s="45" t="s">
        <v>105</v>
      </c>
      <c r="B54" s="45">
        <v>603</v>
      </c>
      <c r="C54" s="45" t="s">
        <v>117</v>
      </c>
      <c r="D54" s="45" t="s">
        <v>73</v>
      </c>
      <c r="E54" s="51">
        <v>46213</v>
      </c>
      <c r="F54" s="51" t="s">
        <v>118</v>
      </c>
      <c r="G54" s="45" t="s">
        <v>59</v>
      </c>
    </row>
  </sheetData>
  <mergeCells count="13">
    <mergeCell ref="A1:F1"/>
    <mergeCell ref="A6:D6"/>
    <mergeCell ref="A41:G41"/>
    <mergeCell ref="A52:G52"/>
    <mergeCell ref="B8:B39"/>
    <mergeCell ref="C8:C39"/>
    <mergeCell ref="D8:D39"/>
    <mergeCell ref="A47:A49"/>
    <mergeCell ref="B47:B49"/>
    <mergeCell ref="C47:C49"/>
    <mergeCell ref="D47:D49"/>
    <mergeCell ref="E47:E49"/>
    <mergeCell ref="F47:F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zoomScale="113" workbookViewId="0">
      <selection activeCell="G3" sqref="G3"/>
    </sheetView>
  </sheetViews>
  <sheetFormatPr defaultColWidth="8.85546875" defaultRowHeight="15"/>
  <cols>
    <col min="1" max="1" width="21.140625" style="12" bestFit="1" customWidth="1"/>
    <col min="2" max="2" width="27.85546875" bestFit="1" customWidth="1"/>
    <col min="3" max="3" width="26.85546875" bestFit="1" customWidth="1"/>
    <col min="4" max="4" width="39.42578125" style="36" bestFit="1" customWidth="1"/>
    <col min="5" max="5" width="22.28515625" style="36" bestFit="1" customWidth="1"/>
    <col min="6" max="6" width="25.28515625" bestFit="1" customWidth="1"/>
    <col min="7" max="7" width="22.28515625" bestFit="1" customWidth="1"/>
  </cols>
  <sheetData>
    <row r="1" spans="1:7">
      <c r="A1" s="127" t="s">
        <v>0</v>
      </c>
      <c r="B1" s="127"/>
      <c r="C1" s="127"/>
      <c r="D1" s="127"/>
      <c r="E1" s="127"/>
      <c r="F1" s="127"/>
    </row>
    <row r="2" spans="1:7">
      <c r="A2" s="34" t="s">
        <v>1</v>
      </c>
      <c r="B2" s="49" t="s">
        <v>2</v>
      </c>
      <c r="C2" s="49" t="s">
        <v>119</v>
      </c>
      <c r="D2" s="50" t="s">
        <v>4</v>
      </c>
      <c r="E2" s="50" t="s">
        <v>5</v>
      </c>
      <c r="F2" s="49" t="s">
        <v>6</v>
      </c>
    </row>
    <row r="3" spans="1:7" ht="15.95">
      <c r="A3" s="82" t="s">
        <v>120</v>
      </c>
      <c r="B3" s="41">
        <v>88</v>
      </c>
      <c r="C3" s="41">
        <v>48</v>
      </c>
      <c r="D3" s="58">
        <v>30</v>
      </c>
      <c r="E3" s="58">
        <v>10</v>
      </c>
      <c r="F3" s="56">
        <v>0.61539999999999995</v>
      </c>
    </row>
    <row r="6" spans="1:7">
      <c r="A6" s="128" t="s">
        <v>8</v>
      </c>
      <c r="B6" s="129"/>
      <c r="C6" s="129"/>
      <c r="D6" s="130"/>
    </row>
    <row r="7" spans="1:7">
      <c r="A7" s="83" t="s">
        <v>9</v>
      </c>
      <c r="B7" s="4" t="s">
        <v>10</v>
      </c>
      <c r="C7" s="4" t="s">
        <v>11</v>
      </c>
      <c r="D7" s="37" t="s">
        <v>61</v>
      </c>
    </row>
    <row r="8" spans="1:7">
      <c r="A8" s="13" t="s">
        <v>73</v>
      </c>
      <c r="B8" s="3" t="s">
        <v>73</v>
      </c>
      <c r="C8" s="3" t="s">
        <v>121</v>
      </c>
      <c r="D8" s="35" t="s">
        <v>73</v>
      </c>
    </row>
    <row r="10" spans="1:7">
      <c r="A10" s="131" t="s">
        <v>29</v>
      </c>
      <c r="B10" s="131"/>
      <c r="C10" s="131"/>
      <c r="D10" s="131"/>
      <c r="E10" s="131"/>
      <c r="F10" s="131"/>
      <c r="G10" s="131"/>
    </row>
    <row r="11" spans="1:7" ht="15.95">
      <c r="A11" s="84" t="s">
        <v>30</v>
      </c>
      <c r="B11" s="80" t="s">
        <v>1</v>
      </c>
      <c r="C11" s="80" t="s">
        <v>31</v>
      </c>
      <c r="D11" s="87" t="s">
        <v>32</v>
      </c>
      <c r="E11" s="87" t="s">
        <v>33</v>
      </c>
      <c r="F11" s="80" t="s">
        <v>34</v>
      </c>
      <c r="G11" s="80" t="s">
        <v>35</v>
      </c>
    </row>
    <row r="12" spans="1:7">
      <c r="A12" s="85">
        <v>46212</v>
      </c>
      <c r="B12" s="81" t="s">
        <v>122</v>
      </c>
      <c r="C12" s="81" t="s">
        <v>123</v>
      </c>
      <c r="D12" s="88">
        <v>4</v>
      </c>
      <c r="E12" s="88" t="s">
        <v>124</v>
      </c>
      <c r="F12" s="81" t="s">
        <v>125</v>
      </c>
      <c r="G12" s="81" t="s">
        <v>126</v>
      </c>
    </row>
    <row r="13" spans="1:7">
      <c r="A13" s="85">
        <v>46218</v>
      </c>
      <c r="B13" s="81" t="s">
        <v>122</v>
      </c>
      <c r="C13" s="81" t="s">
        <v>127</v>
      </c>
      <c r="D13" s="88" t="s">
        <v>128</v>
      </c>
      <c r="E13" s="88" t="s">
        <v>129</v>
      </c>
      <c r="F13" s="81" t="s">
        <v>125</v>
      </c>
      <c r="G13" s="81"/>
    </row>
    <row r="14" spans="1:7">
      <c r="A14" s="85">
        <v>46219</v>
      </c>
      <c r="B14" s="81" t="s">
        <v>122</v>
      </c>
      <c r="C14" s="81" t="s">
        <v>130</v>
      </c>
      <c r="D14" s="88" t="s">
        <v>131</v>
      </c>
      <c r="E14" s="88" t="s">
        <v>131</v>
      </c>
      <c r="F14" s="81" t="s">
        <v>125</v>
      </c>
      <c r="G14" s="81" t="s">
        <v>132</v>
      </c>
    </row>
    <row r="15" spans="1:7">
      <c r="A15" s="85">
        <v>46223</v>
      </c>
      <c r="B15" s="81" t="s">
        <v>122</v>
      </c>
      <c r="C15" s="81" t="s">
        <v>133</v>
      </c>
      <c r="D15" s="88">
        <v>12</v>
      </c>
      <c r="E15" s="88" t="s">
        <v>134</v>
      </c>
      <c r="F15" s="81" t="s">
        <v>125</v>
      </c>
      <c r="G15" s="81"/>
    </row>
    <row r="16" spans="1:7">
      <c r="A16" s="85">
        <v>46226</v>
      </c>
      <c r="B16" s="81" t="s">
        <v>122</v>
      </c>
      <c r="C16" s="81" t="s">
        <v>135</v>
      </c>
      <c r="D16" s="88">
        <v>17</v>
      </c>
      <c r="E16" s="88" t="s">
        <v>136</v>
      </c>
      <c r="F16" s="81" t="s">
        <v>125</v>
      </c>
      <c r="G16" s="81" t="s">
        <v>137</v>
      </c>
    </row>
    <row r="17" spans="1:7">
      <c r="A17" s="85">
        <v>46245</v>
      </c>
      <c r="B17" s="81" t="s">
        <v>122</v>
      </c>
      <c r="C17" s="81" t="s">
        <v>138</v>
      </c>
      <c r="D17" s="88"/>
      <c r="E17" s="88" t="s">
        <v>139</v>
      </c>
      <c r="F17" s="81" t="s">
        <v>125</v>
      </c>
      <c r="G17" s="81"/>
    </row>
    <row r="18" spans="1:7">
      <c r="A18" s="85">
        <v>46255</v>
      </c>
      <c r="B18" s="81" t="s">
        <v>122</v>
      </c>
      <c r="C18" s="81" t="s">
        <v>140</v>
      </c>
      <c r="D18" s="88"/>
      <c r="E18" s="88" t="s">
        <v>141</v>
      </c>
      <c r="F18" s="81" t="s">
        <v>125</v>
      </c>
      <c r="G18" s="81" t="s">
        <v>142</v>
      </c>
    </row>
    <row r="19" spans="1:7">
      <c r="A19" s="85">
        <v>46258</v>
      </c>
      <c r="B19" s="81" t="s">
        <v>122</v>
      </c>
      <c r="C19" s="81" t="s">
        <v>143</v>
      </c>
      <c r="D19" s="88"/>
      <c r="E19" s="88" t="s">
        <v>144</v>
      </c>
      <c r="F19" s="81" t="s">
        <v>125</v>
      </c>
      <c r="G19" s="81"/>
    </row>
    <row r="20" spans="1:7">
      <c r="A20" s="85">
        <v>46265</v>
      </c>
      <c r="B20" s="81" t="s">
        <v>122</v>
      </c>
      <c r="C20" s="81" t="s">
        <v>145</v>
      </c>
      <c r="D20" s="88"/>
      <c r="E20" s="88" t="s">
        <v>146</v>
      </c>
      <c r="F20" s="81" t="s">
        <v>125</v>
      </c>
      <c r="G20" s="81"/>
    </row>
    <row r="21" spans="1:7">
      <c r="A21" s="85">
        <v>46266</v>
      </c>
      <c r="B21" s="81" t="s">
        <v>122</v>
      </c>
      <c r="C21" s="81" t="s">
        <v>147</v>
      </c>
      <c r="D21" s="88"/>
      <c r="E21" s="88" t="s">
        <v>148</v>
      </c>
      <c r="F21" s="81" t="s">
        <v>125</v>
      </c>
      <c r="G21" s="81"/>
    </row>
    <row r="22" spans="1:7">
      <c r="A22" s="85">
        <v>46268</v>
      </c>
      <c r="B22" s="81" t="s">
        <v>122</v>
      </c>
      <c r="C22" s="81" t="s">
        <v>149</v>
      </c>
      <c r="D22" s="88"/>
      <c r="E22" s="88" t="s">
        <v>150</v>
      </c>
      <c r="F22" s="81" t="s">
        <v>125</v>
      </c>
      <c r="G22" s="81"/>
    </row>
    <row r="23" spans="1:7">
      <c r="A23" s="85">
        <v>46269</v>
      </c>
      <c r="B23" s="81" t="s">
        <v>122</v>
      </c>
      <c r="C23" s="81" t="s">
        <v>151</v>
      </c>
      <c r="D23" s="88"/>
      <c r="E23" s="88" t="s">
        <v>152</v>
      </c>
      <c r="F23" s="81" t="s">
        <v>125</v>
      </c>
      <c r="G23" s="81"/>
    </row>
    <row r="24" spans="1:7">
      <c r="A24" s="85">
        <v>46274</v>
      </c>
      <c r="B24" s="81" t="s">
        <v>122</v>
      </c>
      <c r="C24" s="81" t="s">
        <v>153</v>
      </c>
      <c r="D24" s="88"/>
      <c r="E24" s="88" t="s">
        <v>154</v>
      </c>
      <c r="F24" s="81" t="s">
        <v>125</v>
      </c>
      <c r="G24" s="81"/>
    </row>
    <row r="25" spans="1:7">
      <c r="A25" s="85">
        <v>46275</v>
      </c>
      <c r="B25" s="81" t="s">
        <v>122</v>
      </c>
      <c r="C25" s="81" t="s">
        <v>155</v>
      </c>
      <c r="D25" s="88"/>
      <c r="E25" s="88" t="s">
        <v>156</v>
      </c>
      <c r="F25" s="81" t="s">
        <v>125</v>
      </c>
      <c r="G25" s="81"/>
    </row>
    <row r="26" spans="1:7">
      <c r="A26" s="85">
        <v>46279</v>
      </c>
      <c r="B26" s="81" t="s">
        <v>122</v>
      </c>
      <c r="C26" s="81" t="s">
        <v>157</v>
      </c>
      <c r="D26" s="88"/>
      <c r="E26" s="88" t="s">
        <v>158</v>
      </c>
      <c r="F26" s="81" t="s">
        <v>125</v>
      </c>
      <c r="G26" s="81"/>
    </row>
    <row r="27" spans="1:7">
      <c r="A27" s="85">
        <v>46282</v>
      </c>
      <c r="B27" s="81" t="s">
        <v>122</v>
      </c>
      <c r="C27" s="81" t="s">
        <v>159</v>
      </c>
      <c r="D27" s="88"/>
      <c r="E27" s="88" t="s">
        <v>160</v>
      </c>
      <c r="F27" s="81" t="s">
        <v>125</v>
      </c>
      <c r="G27" s="81"/>
    </row>
    <row r="28" spans="1:7">
      <c r="A28" s="85">
        <v>46283</v>
      </c>
      <c r="B28" s="81" t="s">
        <v>122</v>
      </c>
      <c r="C28" s="81" t="s">
        <v>161</v>
      </c>
      <c r="D28" s="88"/>
      <c r="E28" s="88" t="s">
        <v>162</v>
      </c>
      <c r="F28" s="81" t="s">
        <v>125</v>
      </c>
      <c r="G28" s="81"/>
    </row>
    <row r="29" spans="1:7">
      <c r="A29" s="86" t="s">
        <v>73</v>
      </c>
      <c r="B29" s="81" t="s">
        <v>122</v>
      </c>
      <c r="C29" s="81" t="s">
        <v>163</v>
      </c>
      <c r="D29" s="88"/>
      <c r="E29" s="88" t="s">
        <v>164</v>
      </c>
      <c r="F29" s="81" t="s">
        <v>125</v>
      </c>
      <c r="G29" s="81"/>
    </row>
    <row r="30" spans="1:7">
      <c r="A30" s="85">
        <v>46295</v>
      </c>
      <c r="B30" s="81" t="s">
        <v>122</v>
      </c>
      <c r="C30" s="81" t="s">
        <v>165</v>
      </c>
      <c r="D30" s="88"/>
      <c r="E30" s="88" t="s">
        <v>166</v>
      </c>
      <c r="F30" s="81" t="s">
        <v>125</v>
      </c>
      <c r="G30" s="81"/>
    </row>
    <row r="31" spans="1:7">
      <c r="A31" s="85">
        <v>46296</v>
      </c>
      <c r="B31" s="81" t="s">
        <v>122</v>
      </c>
      <c r="C31" s="81" t="s">
        <v>167</v>
      </c>
      <c r="D31" s="88"/>
      <c r="E31" s="88" t="s">
        <v>168</v>
      </c>
      <c r="F31" s="81" t="s">
        <v>125</v>
      </c>
      <c r="G31" s="81"/>
    </row>
    <row r="32" spans="1:7">
      <c r="A32" s="85">
        <v>46297</v>
      </c>
      <c r="B32" s="81" t="s">
        <v>122</v>
      </c>
      <c r="C32" s="81" t="s">
        <v>169</v>
      </c>
      <c r="D32" s="88"/>
      <c r="E32" s="88" t="s">
        <v>170</v>
      </c>
      <c r="F32" s="81" t="s">
        <v>125</v>
      </c>
      <c r="G32" s="81"/>
    </row>
    <row r="33" spans="1:8">
      <c r="A33" s="85">
        <v>46300</v>
      </c>
      <c r="B33" s="81" t="s">
        <v>122</v>
      </c>
      <c r="C33" s="81" t="s">
        <v>171</v>
      </c>
      <c r="D33" s="88"/>
      <c r="E33" s="88" t="s">
        <v>172</v>
      </c>
      <c r="F33" s="81" t="s">
        <v>125</v>
      </c>
      <c r="G33" s="81"/>
    </row>
    <row r="34" spans="1:8">
      <c r="A34" s="85">
        <v>46301</v>
      </c>
      <c r="B34" s="81" t="s">
        <v>122</v>
      </c>
      <c r="C34" s="81" t="s">
        <v>173</v>
      </c>
      <c r="D34" s="88"/>
      <c r="E34" s="88" t="s">
        <v>174</v>
      </c>
      <c r="F34" s="81" t="s">
        <v>125</v>
      </c>
      <c r="G34" s="81"/>
    </row>
    <row r="35" spans="1:8">
      <c r="A35" s="85">
        <v>46303</v>
      </c>
      <c r="B35" s="81" t="s">
        <v>122</v>
      </c>
      <c r="C35" s="81" t="s">
        <v>175</v>
      </c>
      <c r="D35" s="88"/>
      <c r="E35" s="88" t="s">
        <v>176</v>
      </c>
      <c r="F35" s="81" t="s">
        <v>125</v>
      </c>
      <c r="G35" s="81"/>
    </row>
    <row r="36" spans="1:8">
      <c r="A36" s="85">
        <v>46304</v>
      </c>
      <c r="B36" s="81" t="s">
        <v>122</v>
      </c>
      <c r="C36" s="81" t="s">
        <v>177</v>
      </c>
      <c r="D36" s="88"/>
      <c r="E36" s="88" t="s">
        <v>178</v>
      </c>
      <c r="F36" s="81" t="s">
        <v>125</v>
      </c>
      <c r="G36" s="81"/>
    </row>
    <row r="37" spans="1:8">
      <c r="A37" s="85">
        <v>46307</v>
      </c>
      <c r="B37" s="81" t="s">
        <v>122</v>
      </c>
      <c r="C37" s="81" t="s">
        <v>179</v>
      </c>
      <c r="D37" s="88"/>
      <c r="E37" s="88">
        <v>78</v>
      </c>
      <c r="F37" s="81" t="s">
        <v>125</v>
      </c>
      <c r="G37" s="81"/>
    </row>
    <row r="38" spans="1:8">
      <c r="A38" s="85">
        <v>46308</v>
      </c>
      <c r="B38" s="81" t="s">
        <v>122</v>
      </c>
      <c r="C38" s="81" t="s">
        <v>180</v>
      </c>
      <c r="D38" s="88"/>
      <c r="E38" s="88" t="s">
        <v>181</v>
      </c>
      <c r="F38" s="81" t="s">
        <v>125</v>
      </c>
      <c r="G38" s="81"/>
    </row>
    <row r="39" spans="1:8">
      <c r="A39" s="85">
        <v>46310</v>
      </c>
      <c r="B39" s="81" t="s">
        <v>122</v>
      </c>
      <c r="C39" s="81" t="s">
        <v>182</v>
      </c>
      <c r="D39" s="88"/>
      <c r="E39" s="88" t="s">
        <v>183</v>
      </c>
      <c r="F39" s="81" t="s">
        <v>125</v>
      </c>
      <c r="G39" s="81"/>
    </row>
    <row r="41" spans="1:8">
      <c r="A41" s="132" t="s">
        <v>53</v>
      </c>
      <c r="B41" s="133"/>
      <c r="C41" s="133"/>
      <c r="D41" s="133"/>
      <c r="E41" s="133"/>
      <c r="F41" s="133"/>
      <c r="G41" s="134"/>
    </row>
    <row r="42" spans="1:8">
      <c r="A42" s="61" t="s">
        <v>1</v>
      </c>
      <c r="B42" s="19" t="s">
        <v>2</v>
      </c>
      <c r="C42" s="19" t="s">
        <v>54</v>
      </c>
      <c r="D42" s="39" t="s">
        <v>184</v>
      </c>
      <c r="E42" s="39" t="s">
        <v>56</v>
      </c>
      <c r="F42" s="19" t="s">
        <v>57</v>
      </c>
      <c r="G42" s="19" t="s">
        <v>185</v>
      </c>
    </row>
    <row r="43" spans="1:8" ht="15.95">
      <c r="A43" s="82" t="s">
        <v>186</v>
      </c>
      <c r="B43" s="41">
        <v>88</v>
      </c>
      <c r="C43" s="41">
        <v>60</v>
      </c>
      <c r="D43" s="58" t="s">
        <v>187</v>
      </c>
      <c r="E43" s="89">
        <v>46212</v>
      </c>
      <c r="F43" s="85">
        <v>46310</v>
      </c>
      <c r="G43" s="41" t="s">
        <v>59</v>
      </c>
      <c r="H43" s="38"/>
    </row>
  </sheetData>
  <mergeCells count="4">
    <mergeCell ref="A1:F1"/>
    <mergeCell ref="A6:D6"/>
    <mergeCell ref="A10:G10"/>
    <mergeCell ref="A41:G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CF00-020C-4C9E-BC3F-517B411BFB6D}">
  <dimension ref="A1:G30"/>
  <sheetViews>
    <sheetView topLeftCell="D6" zoomScale="133" workbookViewId="0">
      <selection activeCell="G30" sqref="G30"/>
    </sheetView>
  </sheetViews>
  <sheetFormatPr defaultColWidth="8.85546875" defaultRowHeight="15"/>
  <cols>
    <col min="1" max="1" width="31.140625" bestFit="1" customWidth="1"/>
    <col min="2" max="2" width="31.42578125" bestFit="1" customWidth="1"/>
    <col min="3" max="3" width="37.28515625" bestFit="1" customWidth="1"/>
    <col min="4" max="4" width="39.42578125" bestFit="1" customWidth="1"/>
    <col min="5" max="5" width="22.28515625" bestFit="1" customWidth="1"/>
    <col min="6" max="6" width="25.28515625" bestFit="1" customWidth="1"/>
    <col min="7" max="7" width="32.85546875" bestFit="1" customWidth="1"/>
  </cols>
  <sheetData>
    <row r="1" spans="1:7">
      <c r="A1" s="131" t="s">
        <v>0</v>
      </c>
      <c r="B1" s="131"/>
      <c r="C1" s="131"/>
      <c r="D1" s="131"/>
      <c r="E1" s="131"/>
      <c r="F1" s="131"/>
    </row>
    <row r="2" spans="1:7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</row>
    <row r="3" spans="1:7">
      <c r="A3" s="20" t="s">
        <v>188</v>
      </c>
      <c r="B3" s="20">
        <v>89</v>
      </c>
      <c r="C3" s="20">
        <v>43</v>
      </c>
      <c r="D3" s="20">
        <f>B3-(C3+E3)</f>
        <v>0</v>
      </c>
      <c r="E3" s="20">
        <v>46</v>
      </c>
      <c r="F3" s="116">
        <v>0.48299999999999998</v>
      </c>
    </row>
    <row r="5" spans="1:7">
      <c r="A5" s="139" t="s">
        <v>8</v>
      </c>
      <c r="B5" s="140"/>
      <c r="C5" s="140"/>
      <c r="D5" s="141"/>
    </row>
    <row r="6" spans="1:7">
      <c r="A6" s="2" t="s">
        <v>9</v>
      </c>
      <c r="B6" s="2" t="s">
        <v>10</v>
      </c>
      <c r="C6" s="2" t="s">
        <v>11</v>
      </c>
      <c r="D6" s="2" t="s">
        <v>61</v>
      </c>
    </row>
    <row r="7" spans="1:7">
      <c r="A7" s="3" t="s">
        <v>189</v>
      </c>
      <c r="B7" s="3" t="s">
        <v>190</v>
      </c>
      <c r="C7" s="3" t="s">
        <v>191</v>
      </c>
      <c r="D7" s="3" t="s">
        <v>192</v>
      </c>
    </row>
    <row r="8" spans="1:7">
      <c r="A8" s="3" t="s">
        <v>193</v>
      </c>
      <c r="B8" s="3" t="s">
        <v>194</v>
      </c>
      <c r="C8" s="3" t="s">
        <v>195</v>
      </c>
      <c r="D8" s="3" t="s">
        <v>196</v>
      </c>
    </row>
    <row r="9" spans="1:7">
      <c r="A9" s="3" t="s">
        <v>197</v>
      </c>
      <c r="B9" s="3" t="s">
        <v>198</v>
      </c>
      <c r="C9" s="3" t="s">
        <v>199</v>
      </c>
      <c r="D9" s="3" t="s">
        <v>196</v>
      </c>
    </row>
    <row r="10" spans="1:7">
      <c r="A10" s="3" t="s">
        <v>200</v>
      </c>
      <c r="B10" s="3" t="s">
        <v>201</v>
      </c>
      <c r="C10" s="3" t="s">
        <v>202</v>
      </c>
      <c r="D10" s="3" t="s">
        <v>196</v>
      </c>
    </row>
    <row r="12" spans="1:7">
      <c r="A12" s="131" t="s">
        <v>29</v>
      </c>
      <c r="B12" s="131"/>
      <c r="C12" s="131"/>
      <c r="D12" s="131"/>
      <c r="E12" s="131"/>
      <c r="F12" s="131"/>
      <c r="G12" s="131"/>
    </row>
    <row r="13" spans="1:7">
      <c r="A13" s="2" t="s">
        <v>30</v>
      </c>
      <c r="B13" s="2" t="s">
        <v>1</v>
      </c>
      <c r="C13" s="2" t="s">
        <v>203</v>
      </c>
      <c r="D13" s="2" t="s">
        <v>32</v>
      </c>
      <c r="E13" s="2" t="s">
        <v>33</v>
      </c>
      <c r="F13" s="2" t="s">
        <v>34</v>
      </c>
      <c r="G13" s="2" t="s">
        <v>35</v>
      </c>
    </row>
    <row r="14" spans="1:7">
      <c r="A14" s="90">
        <v>46210</v>
      </c>
      <c r="B14" s="3" t="s">
        <v>204</v>
      </c>
      <c r="C14" s="3" t="s">
        <v>205</v>
      </c>
      <c r="D14" s="3">
        <v>5</v>
      </c>
      <c r="E14" s="3">
        <f>0+D14</f>
        <v>5</v>
      </c>
      <c r="F14" s="3" t="s">
        <v>206</v>
      </c>
      <c r="G14" s="3" t="s">
        <v>207</v>
      </c>
    </row>
    <row r="15" spans="1:7">
      <c r="A15" s="90">
        <v>46210</v>
      </c>
      <c r="B15" s="3" t="s">
        <v>204</v>
      </c>
      <c r="C15" s="3" t="s">
        <v>208</v>
      </c>
      <c r="D15" s="3">
        <v>4</v>
      </c>
      <c r="E15" s="3">
        <f>E14+D15</f>
        <v>9</v>
      </c>
      <c r="F15" s="3" t="s">
        <v>206</v>
      </c>
      <c r="G15" s="3" t="s">
        <v>209</v>
      </c>
    </row>
    <row r="16" spans="1:7">
      <c r="A16" s="90">
        <v>46216</v>
      </c>
      <c r="B16" s="3" t="s">
        <v>204</v>
      </c>
      <c r="C16" s="3" t="s">
        <v>210</v>
      </c>
      <c r="D16" s="3">
        <v>6</v>
      </c>
      <c r="E16" s="3">
        <f t="shared" ref="E16:E25" si="0">E15+D16</f>
        <v>15</v>
      </c>
      <c r="F16" s="3" t="s">
        <v>206</v>
      </c>
      <c r="G16" s="3" t="s">
        <v>209</v>
      </c>
    </row>
    <row r="17" spans="1:7">
      <c r="A17" s="90">
        <v>46220</v>
      </c>
      <c r="B17" s="3" t="s">
        <v>204</v>
      </c>
      <c r="C17" s="3" t="s">
        <v>211</v>
      </c>
      <c r="D17" s="3">
        <v>2</v>
      </c>
      <c r="E17" s="3">
        <f t="shared" si="0"/>
        <v>17</v>
      </c>
      <c r="F17" s="3" t="s">
        <v>206</v>
      </c>
      <c r="G17" s="3" t="s">
        <v>212</v>
      </c>
    </row>
    <row r="18" spans="1:7">
      <c r="A18" s="90">
        <v>46220</v>
      </c>
      <c r="B18" s="3" t="s">
        <v>204</v>
      </c>
      <c r="C18" s="3" t="s">
        <v>213</v>
      </c>
      <c r="D18" s="3">
        <v>1</v>
      </c>
      <c r="E18" s="3">
        <f t="shared" si="0"/>
        <v>18</v>
      </c>
      <c r="F18" s="3" t="s">
        <v>206</v>
      </c>
      <c r="G18" s="3" t="s">
        <v>214</v>
      </c>
    </row>
    <row r="19" spans="1:7">
      <c r="A19" s="90">
        <v>46246</v>
      </c>
      <c r="B19" s="3" t="s">
        <v>204</v>
      </c>
      <c r="C19" s="3" t="s">
        <v>215</v>
      </c>
      <c r="D19" s="3">
        <v>13</v>
      </c>
      <c r="E19" s="3">
        <f t="shared" si="0"/>
        <v>31</v>
      </c>
      <c r="F19" s="3" t="s">
        <v>206</v>
      </c>
      <c r="G19" s="3" t="s">
        <v>214</v>
      </c>
    </row>
    <row r="20" spans="1:7">
      <c r="A20" s="90">
        <v>46253</v>
      </c>
      <c r="B20" s="3" t="s">
        <v>204</v>
      </c>
      <c r="C20" s="3" t="s">
        <v>216</v>
      </c>
      <c r="D20" s="3">
        <v>12</v>
      </c>
      <c r="E20" s="3">
        <f t="shared" si="0"/>
        <v>43</v>
      </c>
      <c r="F20" s="3" t="s">
        <v>206</v>
      </c>
      <c r="G20" s="3" t="s">
        <v>217</v>
      </c>
    </row>
    <row r="21" spans="1:7">
      <c r="A21" s="90">
        <v>46255</v>
      </c>
      <c r="B21" s="3" t="s">
        <v>204</v>
      </c>
      <c r="C21" s="3" t="s">
        <v>218</v>
      </c>
      <c r="D21" s="3">
        <v>1</v>
      </c>
      <c r="E21" s="3">
        <f t="shared" si="0"/>
        <v>44</v>
      </c>
      <c r="F21" s="3" t="s">
        <v>206</v>
      </c>
      <c r="G21" s="3" t="s">
        <v>219</v>
      </c>
    </row>
    <row r="22" spans="1:7">
      <c r="A22" s="90">
        <v>46261</v>
      </c>
      <c r="B22" s="3" t="s">
        <v>204</v>
      </c>
      <c r="C22" s="3" t="s">
        <v>220</v>
      </c>
      <c r="D22" s="3">
        <v>6</v>
      </c>
      <c r="E22" s="3">
        <f t="shared" si="0"/>
        <v>50</v>
      </c>
      <c r="F22" s="3" t="s">
        <v>206</v>
      </c>
      <c r="G22" s="3" t="s">
        <v>212</v>
      </c>
    </row>
    <row r="23" spans="1:7">
      <c r="A23" s="90">
        <v>46268</v>
      </c>
      <c r="B23" s="3" t="s">
        <v>204</v>
      </c>
      <c r="C23" s="3" t="s">
        <v>221</v>
      </c>
      <c r="D23" s="3">
        <v>2</v>
      </c>
      <c r="E23" s="3">
        <f t="shared" si="0"/>
        <v>52</v>
      </c>
      <c r="F23" s="3" t="s">
        <v>206</v>
      </c>
      <c r="G23" s="3" t="s">
        <v>222</v>
      </c>
    </row>
    <row r="24" spans="1:7">
      <c r="A24" s="91">
        <v>46270</v>
      </c>
      <c r="B24" s="57" t="s">
        <v>204</v>
      </c>
      <c r="C24" s="57" t="s">
        <v>223</v>
      </c>
      <c r="D24" s="57">
        <v>1</v>
      </c>
      <c r="E24" s="57">
        <f>E26+D24</f>
        <v>58</v>
      </c>
      <c r="F24" s="57" t="s">
        <v>206</v>
      </c>
      <c r="G24" s="57" t="s">
        <v>224</v>
      </c>
    </row>
    <row r="25" spans="1:7">
      <c r="A25" s="91">
        <v>46273</v>
      </c>
      <c r="B25" s="20" t="s">
        <v>204</v>
      </c>
      <c r="C25" s="20" t="s">
        <v>225</v>
      </c>
      <c r="D25" s="20">
        <v>2</v>
      </c>
      <c r="E25" s="20">
        <f t="shared" si="0"/>
        <v>60</v>
      </c>
      <c r="F25" s="20" t="s">
        <v>206</v>
      </c>
      <c r="G25" s="20" t="s">
        <v>226</v>
      </c>
    </row>
    <row r="26" spans="1:7">
      <c r="A26" s="91">
        <v>46280</v>
      </c>
      <c r="B26" s="3" t="s">
        <v>204</v>
      </c>
      <c r="C26" s="3" t="s">
        <v>227</v>
      </c>
      <c r="D26" s="3">
        <v>5</v>
      </c>
      <c r="E26" s="3">
        <f>E23+D26</f>
        <v>57</v>
      </c>
      <c r="F26" s="3" t="s">
        <v>206</v>
      </c>
      <c r="G26" s="3" t="s">
        <v>228</v>
      </c>
    </row>
    <row r="28" spans="1:7">
      <c r="A28" s="145" t="s">
        <v>53</v>
      </c>
      <c r="B28" s="127"/>
      <c r="C28" s="127"/>
      <c r="D28" s="127"/>
      <c r="E28" s="127"/>
      <c r="F28" s="127"/>
      <c r="G28" s="127"/>
    </row>
    <row r="29" spans="1:7">
      <c r="A29" s="2" t="s">
        <v>1</v>
      </c>
      <c r="B29" s="2" t="s">
        <v>2</v>
      </c>
      <c r="C29" s="2" t="s">
        <v>54</v>
      </c>
      <c r="D29" s="2" t="s">
        <v>55</v>
      </c>
      <c r="E29" s="2" t="s">
        <v>56</v>
      </c>
      <c r="F29" s="2" t="s">
        <v>57</v>
      </c>
      <c r="G29" s="2" t="s">
        <v>58</v>
      </c>
    </row>
    <row r="30" spans="1:7">
      <c r="A30" s="3" t="s">
        <v>204</v>
      </c>
      <c r="B30" s="3">
        <v>86</v>
      </c>
      <c r="C30" s="3" t="s">
        <v>229</v>
      </c>
      <c r="D30" s="3" t="s">
        <v>230</v>
      </c>
      <c r="E30" s="5">
        <v>46210</v>
      </c>
      <c r="F30" s="5">
        <v>46280</v>
      </c>
      <c r="G30" s="3" t="s">
        <v>59</v>
      </c>
    </row>
  </sheetData>
  <mergeCells count="4">
    <mergeCell ref="A1:F1"/>
    <mergeCell ref="A5:D5"/>
    <mergeCell ref="A12:G12"/>
    <mergeCell ref="A28:G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C36B-083C-44D1-9053-6F24B1E18DC9}">
  <dimension ref="A1:I54"/>
  <sheetViews>
    <sheetView zoomScale="125" workbookViewId="0">
      <selection activeCell="F4" sqref="F4"/>
    </sheetView>
  </sheetViews>
  <sheetFormatPr defaultColWidth="42.7109375" defaultRowHeight="15"/>
  <cols>
    <col min="1" max="1" width="34.28515625" style="9" customWidth="1"/>
    <col min="2" max="2" width="37.7109375" bestFit="1" customWidth="1"/>
    <col min="3" max="3" width="69.42578125" bestFit="1" customWidth="1"/>
    <col min="4" max="4" width="39.42578125" bestFit="1" customWidth="1"/>
    <col min="5" max="5" width="22.28515625" bestFit="1" customWidth="1"/>
    <col min="6" max="6" width="25.28515625" bestFit="1" customWidth="1"/>
    <col min="7" max="7" width="61.28515625" bestFit="1" customWidth="1"/>
  </cols>
  <sheetData>
    <row r="1" spans="1:7">
      <c r="A1" s="151" t="s">
        <v>0</v>
      </c>
      <c r="B1" s="151"/>
      <c r="C1" s="151"/>
      <c r="D1" s="151"/>
      <c r="E1" s="151"/>
      <c r="F1" s="15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7">
      <c r="A3" s="109" t="s">
        <v>231</v>
      </c>
      <c r="B3" s="100">
        <v>806</v>
      </c>
      <c r="C3" s="3">
        <f>30+49</f>
        <v>79</v>
      </c>
      <c r="D3" s="15">
        <f>B3-C3</f>
        <v>727</v>
      </c>
      <c r="E3" s="3">
        <v>0</v>
      </c>
      <c r="F3" s="16">
        <f>C3/B3</f>
        <v>9.8014888337468978E-2</v>
      </c>
    </row>
    <row r="4" spans="1:7">
      <c r="A4"/>
      <c r="B4" s="14"/>
      <c r="D4" s="14"/>
      <c r="F4" s="11"/>
    </row>
    <row r="5" spans="1:7">
      <c r="A5" s="136" t="s">
        <v>8</v>
      </c>
      <c r="B5" s="137"/>
      <c r="C5" s="137"/>
      <c r="D5" s="138"/>
      <c r="E5" s="7"/>
      <c r="F5" s="7"/>
    </row>
    <row r="6" spans="1:7">
      <c r="A6" s="2" t="s">
        <v>9</v>
      </c>
      <c r="B6" s="2" t="s">
        <v>10</v>
      </c>
      <c r="C6" s="2" t="s">
        <v>11</v>
      </c>
      <c r="D6" s="2" t="s">
        <v>61</v>
      </c>
      <c r="E6" s="7"/>
      <c r="F6" s="7"/>
    </row>
    <row r="7" spans="1:7">
      <c r="A7" s="3" t="s">
        <v>232</v>
      </c>
      <c r="B7" s="3" t="s">
        <v>232</v>
      </c>
      <c r="C7" s="3" t="s">
        <v>232</v>
      </c>
      <c r="D7" s="3" t="s">
        <v>232</v>
      </c>
      <c r="E7" s="7"/>
      <c r="F7" s="7"/>
    </row>
    <row r="9" spans="1:7">
      <c r="A9" s="152" t="s">
        <v>29</v>
      </c>
      <c r="B9" s="152"/>
      <c r="C9" s="152"/>
      <c r="D9" s="152"/>
      <c r="E9" s="152"/>
      <c r="F9" s="152"/>
      <c r="G9" s="152"/>
    </row>
    <row r="10" spans="1:7">
      <c r="A10" s="61" t="s">
        <v>30</v>
      </c>
      <c r="B10" s="61" t="s">
        <v>1</v>
      </c>
      <c r="C10" s="61" t="s">
        <v>203</v>
      </c>
      <c r="D10" s="61" t="s">
        <v>32</v>
      </c>
      <c r="E10" s="61" t="s">
        <v>33</v>
      </c>
      <c r="F10" s="61" t="s">
        <v>34</v>
      </c>
      <c r="G10" s="61" t="s">
        <v>35</v>
      </c>
    </row>
    <row r="11" spans="1:7">
      <c r="A11" s="111">
        <v>46262</v>
      </c>
      <c r="B11" s="109" t="s">
        <v>231</v>
      </c>
      <c r="C11" s="95" t="s">
        <v>233</v>
      </c>
      <c r="D11" s="110">
        <v>25</v>
      </c>
      <c r="E11" s="110">
        <v>25</v>
      </c>
      <c r="F11" s="110" t="s">
        <v>234</v>
      </c>
      <c r="G11" s="61"/>
    </row>
    <row r="12" spans="1:7">
      <c r="A12" s="111">
        <v>46262</v>
      </c>
      <c r="B12" s="109" t="s">
        <v>231</v>
      </c>
      <c r="C12" s="95" t="s">
        <v>235</v>
      </c>
      <c r="D12" s="110">
        <v>37</v>
      </c>
      <c r="E12" s="110">
        <f>E11+D12</f>
        <v>62</v>
      </c>
      <c r="F12" s="110" t="s">
        <v>234</v>
      </c>
      <c r="G12" s="99"/>
    </row>
    <row r="13" spans="1:7">
      <c r="A13" s="111">
        <v>46286</v>
      </c>
      <c r="B13" s="109" t="s">
        <v>231</v>
      </c>
      <c r="C13" s="95" t="s">
        <v>236</v>
      </c>
      <c r="D13" s="110">
        <v>36</v>
      </c>
      <c r="E13" s="110">
        <f>E12+D13</f>
        <v>98</v>
      </c>
      <c r="F13" s="110" t="s">
        <v>237</v>
      </c>
      <c r="G13" s="99"/>
    </row>
    <row r="14" spans="1:7">
      <c r="A14" s="111">
        <v>46289</v>
      </c>
      <c r="B14" s="109" t="s">
        <v>231</v>
      </c>
      <c r="C14" s="95" t="s">
        <v>238</v>
      </c>
      <c r="D14" s="110">
        <v>35</v>
      </c>
      <c r="E14" s="110">
        <f t="shared" ref="E14:E49" si="0">E13+D14</f>
        <v>133</v>
      </c>
      <c r="F14" s="110" t="s">
        <v>237</v>
      </c>
      <c r="G14" s="99"/>
    </row>
    <row r="15" spans="1:7">
      <c r="A15" s="111">
        <v>46294</v>
      </c>
      <c r="B15" s="109" t="s">
        <v>231</v>
      </c>
      <c r="C15" s="95" t="s">
        <v>239</v>
      </c>
      <c r="D15" s="110">
        <v>29</v>
      </c>
      <c r="E15" s="110">
        <f t="shared" si="0"/>
        <v>162</v>
      </c>
      <c r="F15" s="110" t="s">
        <v>237</v>
      </c>
      <c r="G15" s="99"/>
    </row>
    <row r="16" spans="1:7">
      <c r="A16" s="111">
        <v>46300</v>
      </c>
      <c r="B16" s="109" t="s">
        <v>231</v>
      </c>
      <c r="C16" s="95" t="s">
        <v>240</v>
      </c>
      <c r="D16" s="110">
        <v>49</v>
      </c>
      <c r="E16" s="110">
        <f t="shared" si="0"/>
        <v>211</v>
      </c>
      <c r="F16" s="110" t="s">
        <v>234</v>
      </c>
      <c r="G16" s="99"/>
    </row>
    <row r="17" spans="1:9">
      <c r="A17" s="111">
        <v>46286</v>
      </c>
      <c r="B17" s="109" t="s">
        <v>231</v>
      </c>
      <c r="C17" s="95" t="s">
        <v>241</v>
      </c>
      <c r="D17" s="110">
        <v>6</v>
      </c>
      <c r="E17" s="110">
        <f t="shared" si="0"/>
        <v>217</v>
      </c>
      <c r="F17" s="110" t="s">
        <v>242</v>
      </c>
      <c r="G17" s="99"/>
    </row>
    <row r="18" spans="1:9">
      <c r="A18" s="111">
        <v>46265</v>
      </c>
      <c r="B18" s="109" t="s">
        <v>231</v>
      </c>
      <c r="C18" s="95" t="s">
        <v>243</v>
      </c>
      <c r="D18" s="110">
        <v>4</v>
      </c>
      <c r="E18" s="110">
        <f t="shared" si="0"/>
        <v>221</v>
      </c>
      <c r="F18" s="110" t="s">
        <v>234</v>
      </c>
      <c r="G18" s="99"/>
    </row>
    <row r="19" spans="1:9">
      <c r="A19" s="111">
        <v>46279</v>
      </c>
      <c r="B19" s="109" t="s">
        <v>231</v>
      </c>
      <c r="C19" s="95" t="s">
        <v>244</v>
      </c>
      <c r="D19" s="110">
        <v>105</v>
      </c>
      <c r="E19" s="110">
        <f t="shared" si="0"/>
        <v>326</v>
      </c>
      <c r="F19" s="110" t="s">
        <v>234</v>
      </c>
      <c r="G19" s="99"/>
    </row>
    <row r="20" spans="1:9">
      <c r="A20" s="111">
        <v>46303</v>
      </c>
      <c r="B20" s="109" t="s">
        <v>231</v>
      </c>
      <c r="C20" s="95" t="s">
        <v>245</v>
      </c>
      <c r="D20" s="110">
        <v>16</v>
      </c>
      <c r="E20" s="110">
        <f t="shared" si="0"/>
        <v>342</v>
      </c>
      <c r="F20" s="110" t="s">
        <v>237</v>
      </c>
      <c r="G20" s="99"/>
    </row>
    <row r="21" spans="1:9">
      <c r="A21" s="111">
        <v>46293</v>
      </c>
      <c r="B21" s="109" t="s">
        <v>231</v>
      </c>
      <c r="C21" s="95" t="s">
        <v>246</v>
      </c>
      <c r="D21" s="110">
        <v>27</v>
      </c>
      <c r="E21" s="110">
        <f t="shared" si="0"/>
        <v>369</v>
      </c>
      <c r="F21" s="110" t="s">
        <v>242</v>
      </c>
      <c r="G21" s="99"/>
    </row>
    <row r="22" spans="1:9">
      <c r="A22" s="111">
        <v>46281</v>
      </c>
      <c r="B22" s="109" t="s">
        <v>231</v>
      </c>
      <c r="C22" s="95" t="s">
        <v>247</v>
      </c>
      <c r="D22" s="110">
        <v>5</v>
      </c>
      <c r="E22" s="110">
        <f t="shared" si="0"/>
        <v>374</v>
      </c>
      <c r="F22" s="110" t="s">
        <v>234</v>
      </c>
      <c r="G22" s="99"/>
    </row>
    <row r="23" spans="1:9">
      <c r="A23" s="111">
        <v>46293</v>
      </c>
      <c r="B23" s="109" t="s">
        <v>231</v>
      </c>
      <c r="C23" s="95" t="s">
        <v>248</v>
      </c>
      <c r="D23" s="110">
        <v>93</v>
      </c>
      <c r="E23" s="110">
        <f t="shared" si="0"/>
        <v>467</v>
      </c>
      <c r="F23" s="110" t="s">
        <v>234</v>
      </c>
      <c r="G23" s="99"/>
    </row>
    <row r="24" spans="1:9">
      <c r="A24" s="111">
        <v>46295</v>
      </c>
      <c r="B24" s="109" t="s">
        <v>231</v>
      </c>
      <c r="C24" s="95" t="s">
        <v>249</v>
      </c>
      <c r="D24" s="110">
        <v>3</v>
      </c>
      <c r="E24" s="110">
        <f t="shared" si="0"/>
        <v>470</v>
      </c>
      <c r="F24" s="110" t="s">
        <v>242</v>
      </c>
      <c r="G24" s="99"/>
    </row>
    <row r="25" spans="1:9">
      <c r="A25" s="111">
        <v>46297</v>
      </c>
      <c r="B25" s="109" t="s">
        <v>231</v>
      </c>
      <c r="C25" s="95" t="s">
        <v>250</v>
      </c>
      <c r="D25" s="110">
        <v>3</v>
      </c>
      <c r="E25" s="110">
        <f t="shared" si="0"/>
        <v>473</v>
      </c>
      <c r="F25" s="110" t="s">
        <v>242</v>
      </c>
      <c r="G25" s="99"/>
    </row>
    <row r="26" spans="1:9">
      <c r="A26" s="111">
        <v>46303</v>
      </c>
      <c r="B26" s="109" t="s">
        <v>231</v>
      </c>
      <c r="C26" s="95" t="s">
        <v>251</v>
      </c>
      <c r="D26" s="110">
        <v>13</v>
      </c>
      <c r="E26" s="110">
        <f t="shared" si="0"/>
        <v>486</v>
      </c>
      <c r="F26" s="110" t="s">
        <v>242</v>
      </c>
      <c r="G26" s="99"/>
    </row>
    <row r="27" spans="1:9">
      <c r="A27" s="111">
        <v>46307</v>
      </c>
      <c r="B27" s="109" t="s">
        <v>231</v>
      </c>
      <c r="C27" s="95" t="s">
        <v>252</v>
      </c>
      <c r="D27" s="110">
        <v>4</v>
      </c>
      <c r="E27" s="110">
        <f t="shared" si="0"/>
        <v>490</v>
      </c>
      <c r="F27" s="110" t="s">
        <v>242</v>
      </c>
      <c r="G27" s="99"/>
    </row>
    <row r="28" spans="1:9">
      <c r="A28" s="111">
        <v>46295</v>
      </c>
      <c r="B28" s="109" t="s">
        <v>231</v>
      </c>
      <c r="C28" s="95" t="s">
        <v>253</v>
      </c>
      <c r="D28" s="110">
        <v>8</v>
      </c>
      <c r="E28" s="110">
        <f t="shared" si="0"/>
        <v>498</v>
      </c>
      <c r="F28" s="110" t="s">
        <v>234</v>
      </c>
      <c r="G28" s="99"/>
      <c r="H28" s="12"/>
      <c r="I28" s="12"/>
    </row>
    <row r="29" spans="1:9">
      <c r="A29" s="111">
        <v>46310</v>
      </c>
      <c r="B29" s="109" t="s">
        <v>231</v>
      </c>
      <c r="C29" s="95" t="s">
        <v>254</v>
      </c>
      <c r="D29" s="110">
        <v>8</v>
      </c>
      <c r="E29" s="110">
        <f t="shared" si="0"/>
        <v>506</v>
      </c>
      <c r="F29" s="110" t="s">
        <v>242</v>
      </c>
      <c r="G29" s="99"/>
      <c r="H29" s="12"/>
      <c r="I29" s="12"/>
    </row>
    <row r="30" spans="1:9">
      <c r="A30" s="111">
        <v>46315</v>
      </c>
      <c r="B30" s="109" t="s">
        <v>231</v>
      </c>
      <c r="C30" s="95" t="s">
        <v>255</v>
      </c>
      <c r="D30" s="110">
        <v>16</v>
      </c>
      <c r="E30" s="110">
        <f t="shared" si="0"/>
        <v>522</v>
      </c>
      <c r="F30" s="110" t="s">
        <v>242</v>
      </c>
      <c r="G30" s="99"/>
      <c r="H30" s="12"/>
      <c r="I30" s="12"/>
    </row>
    <row r="31" spans="1:9">
      <c r="A31" s="111">
        <v>46321</v>
      </c>
      <c r="B31" s="109" t="s">
        <v>231</v>
      </c>
      <c r="C31" s="95" t="s">
        <v>256</v>
      </c>
      <c r="D31" s="110">
        <v>15</v>
      </c>
      <c r="E31" s="110">
        <f t="shared" si="0"/>
        <v>537</v>
      </c>
      <c r="F31" s="110" t="s">
        <v>242</v>
      </c>
      <c r="G31" s="99"/>
    </row>
    <row r="32" spans="1:9">
      <c r="A32" s="111">
        <v>46297</v>
      </c>
      <c r="B32" s="109" t="s">
        <v>231</v>
      </c>
      <c r="C32" s="95" t="s">
        <v>257</v>
      </c>
      <c r="D32" s="110">
        <v>6</v>
      </c>
      <c r="E32" s="110">
        <f t="shared" si="0"/>
        <v>543</v>
      </c>
      <c r="F32" s="110" t="s">
        <v>234</v>
      </c>
      <c r="G32" s="99"/>
    </row>
    <row r="33" spans="1:7">
      <c r="A33" s="111">
        <v>46322</v>
      </c>
      <c r="B33" s="109" t="s">
        <v>231</v>
      </c>
      <c r="C33" s="95" t="s">
        <v>258</v>
      </c>
      <c r="D33" s="110">
        <v>1</v>
      </c>
      <c r="E33" s="110">
        <f t="shared" si="0"/>
        <v>544</v>
      </c>
      <c r="F33" s="110" t="s">
        <v>242</v>
      </c>
      <c r="G33" s="99"/>
    </row>
    <row r="34" spans="1:7">
      <c r="A34" s="111">
        <v>46300</v>
      </c>
      <c r="B34" s="109" t="s">
        <v>231</v>
      </c>
      <c r="C34" s="95" t="s">
        <v>259</v>
      </c>
      <c r="D34" s="110">
        <v>3</v>
      </c>
      <c r="E34" s="110">
        <f t="shared" si="0"/>
        <v>547</v>
      </c>
      <c r="F34" s="110" t="s">
        <v>234</v>
      </c>
      <c r="G34" s="99"/>
    </row>
    <row r="35" spans="1:7">
      <c r="A35" s="111">
        <v>46324</v>
      </c>
      <c r="B35" s="109" t="s">
        <v>231</v>
      </c>
      <c r="C35" s="95" t="s">
        <v>260</v>
      </c>
      <c r="D35" s="110">
        <v>4</v>
      </c>
      <c r="E35" s="110">
        <f t="shared" si="0"/>
        <v>551</v>
      </c>
      <c r="F35" s="110" t="s">
        <v>242</v>
      </c>
      <c r="G35" s="99"/>
    </row>
    <row r="36" spans="1:7">
      <c r="A36" s="111">
        <v>46328</v>
      </c>
      <c r="B36" s="109" t="s">
        <v>231</v>
      </c>
      <c r="C36" s="95" t="s">
        <v>261</v>
      </c>
      <c r="D36" s="110">
        <v>2</v>
      </c>
      <c r="E36" s="110">
        <f t="shared" si="0"/>
        <v>553</v>
      </c>
      <c r="F36" s="110" t="s">
        <v>242</v>
      </c>
      <c r="G36" s="99"/>
    </row>
    <row r="37" spans="1:7">
      <c r="A37" s="111">
        <v>46331</v>
      </c>
      <c r="B37" s="109" t="s">
        <v>231</v>
      </c>
      <c r="C37" s="95" t="s">
        <v>262</v>
      </c>
      <c r="D37" s="110">
        <v>6</v>
      </c>
      <c r="E37" s="110">
        <f t="shared" si="0"/>
        <v>559</v>
      </c>
      <c r="F37" s="110" t="s">
        <v>242</v>
      </c>
      <c r="G37" s="99"/>
    </row>
    <row r="38" spans="1:7">
      <c r="A38" s="111">
        <v>46335</v>
      </c>
      <c r="B38" s="109" t="s">
        <v>231</v>
      </c>
      <c r="C38" s="95" t="s">
        <v>263</v>
      </c>
      <c r="D38" s="110">
        <v>5</v>
      </c>
      <c r="E38" s="110">
        <f t="shared" si="0"/>
        <v>564</v>
      </c>
      <c r="F38" s="110" t="s">
        <v>242</v>
      </c>
      <c r="G38" s="99"/>
    </row>
    <row r="39" spans="1:7">
      <c r="A39" s="111">
        <v>46310</v>
      </c>
      <c r="B39" s="109" t="s">
        <v>231</v>
      </c>
      <c r="C39" s="95" t="s">
        <v>264</v>
      </c>
      <c r="D39" s="110">
        <v>66</v>
      </c>
      <c r="E39" s="110">
        <f t="shared" si="0"/>
        <v>630</v>
      </c>
      <c r="F39" s="110" t="s">
        <v>234</v>
      </c>
      <c r="G39" s="99"/>
    </row>
    <row r="40" spans="1:7">
      <c r="A40" s="111">
        <v>46316</v>
      </c>
      <c r="B40" s="109" t="s">
        <v>231</v>
      </c>
      <c r="C40" s="95" t="s">
        <v>265</v>
      </c>
      <c r="D40" s="110">
        <v>15</v>
      </c>
      <c r="E40" s="110">
        <f t="shared" si="0"/>
        <v>645</v>
      </c>
      <c r="F40" s="110" t="s">
        <v>234</v>
      </c>
      <c r="G40" s="99"/>
    </row>
    <row r="41" spans="1:7">
      <c r="A41" s="112">
        <v>46343</v>
      </c>
      <c r="B41" s="109" t="s">
        <v>231</v>
      </c>
      <c r="C41" s="95" t="s">
        <v>266</v>
      </c>
      <c r="D41" s="110">
        <v>24</v>
      </c>
      <c r="E41" s="110">
        <f t="shared" si="0"/>
        <v>669</v>
      </c>
      <c r="F41" s="110" t="s">
        <v>242</v>
      </c>
      <c r="G41" s="99"/>
    </row>
    <row r="42" spans="1:7">
      <c r="A42" s="113">
        <v>46351</v>
      </c>
      <c r="B42" s="109" t="s">
        <v>231</v>
      </c>
      <c r="C42" s="95" t="s">
        <v>267</v>
      </c>
      <c r="D42" s="110">
        <v>24</v>
      </c>
      <c r="E42" s="110">
        <f t="shared" si="0"/>
        <v>693</v>
      </c>
      <c r="F42" s="110" t="s">
        <v>242</v>
      </c>
      <c r="G42" s="99"/>
    </row>
    <row r="43" spans="1:7">
      <c r="A43" s="113">
        <v>46358</v>
      </c>
      <c r="B43" s="109" t="s">
        <v>231</v>
      </c>
      <c r="C43" s="95" t="s">
        <v>268</v>
      </c>
      <c r="D43" s="110">
        <v>18</v>
      </c>
      <c r="E43" s="110">
        <f t="shared" si="0"/>
        <v>711</v>
      </c>
      <c r="F43" s="110" t="s">
        <v>242</v>
      </c>
      <c r="G43" s="99"/>
    </row>
    <row r="44" spans="1:7">
      <c r="A44" s="113">
        <v>46366</v>
      </c>
      <c r="B44" s="109" t="s">
        <v>231</v>
      </c>
      <c r="C44" s="95" t="s">
        <v>269</v>
      </c>
      <c r="D44" s="110">
        <v>21</v>
      </c>
      <c r="E44" s="110">
        <f t="shared" si="0"/>
        <v>732</v>
      </c>
      <c r="F44" s="110" t="s">
        <v>242</v>
      </c>
      <c r="G44" s="99"/>
    </row>
    <row r="45" spans="1:7">
      <c r="A45" s="113">
        <v>46373</v>
      </c>
      <c r="B45" s="109" t="s">
        <v>231</v>
      </c>
      <c r="C45" s="95" t="s">
        <v>270</v>
      </c>
      <c r="D45" s="110">
        <v>16</v>
      </c>
      <c r="E45" s="110">
        <f t="shared" si="0"/>
        <v>748</v>
      </c>
      <c r="F45" s="110" t="s">
        <v>242</v>
      </c>
      <c r="G45" s="99"/>
    </row>
    <row r="46" spans="1:7">
      <c r="A46" s="113">
        <v>46328</v>
      </c>
      <c r="B46" s="109" t="s">
        <v>231</v>
      </c>
      <c r="C46" s="95" t="s">
        <v>271</v>
      </c>
      <c r="D46" s="110">
        <v>33</v>
      </c>
      <c r="E46" s="110">
        <f t="shared" si="0"/>
        <v>781</v>
      </c>
      <c r="F46" s="110" t="s">
        <v>234</v>
      </c>
      <c r="G46" s="99"/>
    </row>
    <row r="47" spans="1:7">
      <c r="A47" s="113">
        <v>46331</v>
      </c>
      <c r="B47" s="109" t="s">
        <v>231</v>
      </c>
      <c r="C47" s="95" t="s">
        <v>272</v>
      </c>
      <c r="D47" s="110">
        <v>7</v>
      </c>
      <c r="E47" s="110">
        <f t="shared" si="0"/>
        <v>788</v>
      </c>
      <c r="F47" s="110" t="s">
        <v>234</v>
      </c>
      <c r="G47" s="99"/>
    </row>
    <row r="48" spans="1:7">
      <c r="A48" s="113">
        <v>46335</v>
      </c>
      <c r="B48" s="109" t="s">
        <v>231</v>
      </c>
      <c r="C48" s="95" t="s">
        <v>273</v>
      </c>
      <c r="D48" s="110">
        <v>4</v>
      </c>
      <c r="E48" s="110">
        <f t="shared" si="0"/>
        <v>792</v>
      </c>
      <c r="F48" s="110" t="s">
        <v>234</v>
      </c>
      <c r="G48" s="99"/>
    </row>
    <row r="49" spans="1:9">
      <c r="A49" s="113">
        <v>46344</v>
      </c>
      <c r="B49" s="109" t="s">
        <v>231</v>
      </c>
      <c r="C49" s="95" t="s">
        <v>274</v>
      </c>
      <c r="D49" s="110">
        <v>14</v>
      </c>
      <c r="E49" s="110">
        <f t="shared" si="0"/>
        <v>806</v>
      </c>
      <c r="F49" s="110" t="s">
        <v>234</v>
      </c>
      <c r="G49" s="99"/>
    </row>
    <row r="52" spans="1:9">
      <c r="A52" s="145" t="s">
        <v>53</v>
      </c>
      <c r="B52" s="127"/>
      <c r="C52" s="127"/>
      <c r="D52" s="127"/>
      <c r="E52" s="127"/>
      <c r="F52" s="127"/>
      <c r="G52" s="127"/>
      <c r="H52" s="12"/>
      <c r="I52" s="12"/>
    </row>
    <row r="53" spans="1:9">
      <c r="A53" s="19" t="s">
        <v>1</v>
      </c>
      <c r="B53" s="19" t="s">
        <v>2</v>
      </c>
      <c r="C53" s="19" t="s">
        <v>54</v>
      </c>
      <c r="D53" s="19" t="s">
        <v>184</v>
      </c>
      <c r="E53" s="19" t="s">
        <v>56</v>
      </c>
      <c r="F53" s="19" t="s">
        <v>57</v>
      </c>
      <c r="G53" s="19" t="s">
        <v>185</v>
      </c>
    </row>
    <row r="54" spans="1:9">
      <c r="A54" s="19" t="s">
        <v>275</v>
      </c>
      <c r="B54" s="19">
        <v>806</v>
      </c>
      <c r="C54" s="19">
        <v>150</v>
      </c>
      <c r="D54" s="19" t="s">
        <v>276</v>
      </c>
      <c r="E54" s="111">
        <v>46250</v>
      </c>
      <c r="F54" s="113">
        <v>46344</v>
      </c>
      <c r="G54" s="20" t="s">
        <v>277</v>
      </c>
    </row>
  </sheetData>
  <mergeCells count="4">
    <mergeCell ref="A1:F1"/>
    <mergeCell ref="A5:D5"/>
    <mergeCell ref="A9:G9"/>
    <mergeCell ref="A52:G5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922B-1F87-E745-8284-D3024ACD1684}">
  <dimension ref="A1:I50"/>
  <sheetViews>
    <sheetView zoomScale="125" workbookViewId="0">
      <selection activeCell="F11" sqref="F11"/>
    </sheetView>
  </sheetViews>
  <sheetFormatPr defaultColWidth="42.7109375" defaultRowHeight="15"/>
  <cols>
    <col min="1" max="1" width="34.28515625" style="9" customWidth="1"/>
    <col min="2" max="2" width="37.7109375" bestFit="1" customWidth="1"/>
    <col min="3" max="3" width="69.42578125" bestFit="1" customWidth="1"/>
    <col min="4" max="4" width="39.42578125" bestFit="1" customWidth="1"/>
    <col min="5" max="5" width="22.28515625" bestFit="1" customWidth="1"/>
    <col min="6" max="6" width="25.28515625" bestFit="1" customWidth="1"/>
    <col min="7" max="7" width="61.28515625" bestFit="1" customWidth="1"/>
  </cols>
  <sheetData>
    <row r="1" spans="1:7">
      <c r="A1" s="151" t="s">
        <v>0</v>
      </c>
      <c r="B1" s="151"/>
      <c r="C1" s="151"/>
      <c r="D1" s="151"/>
      <c r="E1" s="151"/>
      <c r="F1" s="15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7">
      <c r="A3" s="109" t="s">
        <v>278</v>
      </c>
      <c r="B3" s="100">
        <v>476</v>
      </c>
      <c r="C3" s="3">
        <v>0</v>
      </c>
      <c r="D3" s="15">
        <v>451</v>
      </c>
      <c r="E3" s="3">
        <v>0</v>
      </c>
      <c r="F3" s="16">
        <v>0</v>
      </c>
    </row>
    <row r="4" spans="1:7">
      <c r="A4"/>
      <c r="B4" s="14"/>
      <c r="D4" s="14"/>
      <c r="F4" s="11"/>
    </row>
    <row r="5" spans="1:7">
      <c r="A5" s="136" t="s">
        <v>8</v>
      </c>
      <c r="B5" s="137"/>
      <c r="C5" s="137"/>
      <c r="D5" s="138"/>
      <c r="E5" s="7"/>
      <c r="F5" s="7"/>
    </row>
    <row r="6" spans="1:7">
      <c r="A6" s="2" t="s">
        <v>9</v>
      </c>
      <c r="B6" s="2" t="s">
        <v>10</v>
      </c>
      <c r="C6" s="2" t="s">
        <v>11</v>
      </c>
      <c r="D6" s="2" t="s">
        <v>61</v>
      </c>
      <c r="E6" s="7"/>
      <c r="F6" s="7"/>
    </row>
    <row r="7" spans="1:7">
      <c r="A7" s="3" t="s">
        <v>232</v>
      </c>
      <c r="B7" s="3" t="s">
        <v>232</v>
      </c>
      <c r="C7" s="3" t="s">
        <v>232</v>
      </c>
      <c r="D7" s="3" t="s">
        <v>232</v>
      </c>
      <c r="E7" s="7"/>
      <c r="F7" s="7"/>
    </row>
    <row r="9" spans="1:7">
      <c r="A9" s="152" t="s">
        <v>29</v>
      </c>
      <c r="B9" s="152"/>
      <c r="C9" s="152"/>
      <c r="D9" s="152"/>
      <c r="E9" s="152"/>
      <c r="F9" s="152"/>
      <c r="G9" s="152"/>
    </row>
    <row r="10" spans="1:7">
      <c r="A10" s="61" t="s">
        <v>30</v>
      </c>
      <c r="B10" s="61" t="s">
        <v>1</v>
      </c>
      <c r="C10" s="61" t="s">
        <v>203</v>
      </c>
      <c r="D10" s="61" t="s">
        <v>32</v>
      </c>
      <c r="E10" s="61" t="s">
        <v>33</v>
      </c>
      <c r="F10" s="61" t="s">
        <v>34</v>
      </c>
      <c r="G10" s="61" t="s">
        <v>35</v>
      </c>
    </row>
    <row r="11" spans="1:7">
      <c r="A11" s="113">
        <v>46305</v>
      </c>
      <c r="B11" s="109" t="s">
        <v>278</v>
      </c>
      <c r="C11" s="12" t="s">
        <v>233</v>
      </c>
      <c r="D11" s="36">
        <v>25</v>
      </c>
      <c r="E11" s="36">
        <v>25</v>
      </c>
      <c r="F11" s="110" t="s">
        <v>234</v>
      </c>
      <c r="G11" s="114"/>
    </row>
    <row r="12" spans="1:7">
      <c r="A12" s="113">
        <v>46378</v>
      </c>
      <c r="B12" s="109" t="s">
        <v>278</v>
      </c>
      <c r="C12" s="95" t="s">
        <v>279</v>
      </c>
      <c r="D12" s="110">
        <v>2</v>
      </c>
      <c r="E12" s="110">
        <f>E11+D12</f>
        <v>27</v>
      </c>
      <c r="F12" s="110" t="s">
        <v>234</v>
      </c>
    </row>
    <row r="13" spans="1:7">
      <c r="A13" s="113">
        <v>46385</v>
      </c>
      <c r="B13" s="109" t="s">
        <v>280</v>
      </c>
      <c r="C13" s="95" t="s">
        <v>233</v>
      </c>
      <c r="D13" s="110">
        <v>5</v>
      </c>
      <c r="E13" s="110">
        <f t="shared" ref="E13:E45" si="0">E12+D13</f>
        <v>32</v>
      </c>
      <c r="F13" s="110" t="s">
        <v>234</v>
      </c>
    </row>
    <row r="14" spans="1:7">
      <c r="A14" s="113">
        <v>46387</v>
      </c>
      <c r="B14" s="109" t="s">
        <v>278</v>
      </c>
      <c r="C14" s="95" t="s">
        <v>281</v>
      </c>
      <c r="D14" s="110">
        <v>3</v>
      </c>
      <c r="E14" s="110">
        <f t="shared" si="0"/>
        <v>35</v>
      </c>
      <c r="F14" s="110" t="s">
        <v>234</v>
      </c>
    </row>
    <row r="15" spans="1:7">
      <c r="A15" s="113">
        <v>46377</v>
      </c>
      <c r="B15" s="109" t="s">
        <v>280</v>
      </c>
      <c r="C15" s="95" t="s">
        <v>282</v>
      </c>
      <c r="D15" s="110">
        <v>3</v>
      </c>
      <c r="E15" s="110">
        <f t="shared" si="0"/>
        <v>38</v>
      </c>
      <c r="F15" s="110" t="s">
        <v>242</v>
      </c>
    </row>
    <row r="16" spans="1:7">
      <c r="A16" s="113">
        <v>46391</v>
      </c>
      <c r="B16" s="109" t="s">
        <v>278</v>
      </c>
      <c r="C16" s="95" t="s">
        <v>283</v>
      </c>
      <c r="D16" s="110">
        <v>3</v>
      </c>
      <c r="E16" s="110">
        <f t="shared" si="0"/>
        <v>41</v>
      </c>
      <c r="F16" s="110" t="s">
        <v>234</v>
      </c>
    </row>
    <row r="17" spans="1:6">
      <c r="A17" s="113">
        <v>46398</v>
      </c>
      <c r="B17" s="109" t="s">
        <v>280</v>
      </c>
      <c r="C17" s="95" t="s">
        <v>284</v>
      </c>
      <c r="D17" s="110">
        <v>52</v>
      </c>
      <c r="E17" s="110">
        <f t="shared" si="0"/>
        <v>93</v>
      </c>
      <c r="F17" s="110" t="s">
        <v>234</v>
      </c>
    </row>
    <row r="18" spans="1:6">
      <c r="A18" s="113">
        <v>46402</v>
      </c>
      <c r="B18" s="109" t="s">
        <v>278</v>
      </c>
      <c r="C18" s="95" t="s">
        <v>285</v>
      </c>
      <c r="D18" s="110">
        <v>8</v>
      </c>
      <c r="E18" s="110">
        <f t="shared" si="0"/>
        <v>101</v>
      </c>
      <c r="F18" s="110" t="s">
        <v>234</v>
      </c>
    </row>
    <row r="19" spans="1:6">
      <c r="A19" s="113">
        <v>46409</v>
      </c>
      <c r="B19" s="109" t="s">
        <v>280</v>
      </c>
      <c r="C19" s="95" t="s">
        <v>236</v>
      </c>
      <c r="D19" s="110">
        <v>10</v>
      </c>
      <c r="E19" s="110">
        <f t="shared" si="0"/>
        <v>111</v>
      </c>
      <c r="F19" s="110" t="s">
        <v>234</v>
      </c>
    </row>
    <row r="20" spans="1:6">
      <c r="A20" s="113">
        <v>46415</v>
      </c>
      <c r="B20" s="109" t="s">
        <v>278</v>
      </c>
      <c r="C20" s="95" t="s">
        <v>238</v>
      </c>
      <c r="D20" s="110">
        <v>22</v>
      </c>
      <c r="E20" s="110">
        <f t="shared" si="0"/>
        <v>133</v>
      </c>
      <c r="F20" s="110" t="s">
        <v>234</v>
      </c>
    </row>
    <row r="21" spans="1:6">
      <c r="A21" s="113">
        <v>46422</v>
      </c>
      <c r="B21" s="109" t="s">
        <v>280</v>
      </c>
      <c r="C21" s="95" t="s">
        <v>239</v>
      </c>
      <c r="D21" s="110">
        <v>10</v>
      </c>
      <c r="E21" s="110">
        <f t="shared" si="0"/>
        <v>143</v>
      </c>
      <c r="F21" s="110" t="s">
        <v>234</v>
      </c>
    </row>
    <row r="22" spans="1:6">
      <c r="A22" s="113">
        <v>46388</v>
      </c>
      <c r="B22" s="109" t="s">
        <v>278</v>
      </c>
      <c r="C22" s="95" t="s">
        <v>286</v>
      </c>
      <c r="D22" s="110">
        <v>50</v>
      </c>
      <c r="E22" s="110">
        <f t="shared" si="0"/>
        <v>193</v>
      </c>
      <c r="F22" s="110" t="s">
        <v>242</v>
      </c>
    </row>
    <row r="23" spans="1:6">
      <c r="A23" s="113">
        <v>46395</v>
      </c>
      <c r="B23" s="109" t="s">
        <v>280</v>
      </c>
      <c r="C23" s="95" t="s">
        <v>287</v>
      </c>
      <c r="D23" s="110">
        <v>23</v>
      </c>
      <c r="E23" s="110">
        <f t="shared" si="0"/>
        <v>216</v>
      </c>
      <c r="F23" s="110" t="s">
        <v>242</v>
      </c>
    </row>
    <row r="24" spans="1:6">
      <c r="A24" s="113">
        <v>46427</v>
      </c>
      <c r="B24" s="109" t="s">
        <v>278</v>
      </c>
      <c r="C24" s="95" t="s">
        <v>288</v>
      </c>
      <c r="D24" s="110">
        <v>4</v>
      </c>
      <c r="E24" s="110">
        <f t="shared" si="0"/>
        <v>220</v>
      </c>
      <c r="F24" s="110" t="s">
        <v>234</v>
      </c>
    </row>
    <row r="25" spans="1:6">
      <c r="A25" s="113">
        <v>46433</v>
      </c>
      <c r="B25" s="109" t="s">
        <v>280</v>
      </c>
      <c r="C25" s="95" t="s">
        <v>289</v>
      </c>
      <c r="D25" s="110">
        <v>9</v>
      </c>
      <c r="E25" s="110">
        <f t="shared" si="0"/>
        <v>229</v>
      </c>
      <c r="F25" s="110" t="s">
        <v>234</v>
      </c>
    </row>
    <row r="26" spans="1:6">
      <c r="A26" s="113">
        <v>46436</v>
      </c>
      <c r="B26" s="109" t="s">
        <v>278</v>
      </c>
      <c r="C26" s="95" t="s">
        <v>290</v>
      </c>
      <c r="D26" s="110">
        <v>16</v>
      </c>
      <c r="E26" s="110">
        <f t="shared" si="0"/>
        <v>245</v>
      </c>
      <c r="F26" s="110" t="s">
        <v>234</v>
      </c>
    </row>
    <row r="27" spans="1:6">
      <c r="A27" s="113">
        <v>46441</v>
      </c>
      <c r="B27" s="109" t="s">
        <v>280</v>
      </c>
      <c r="C27" s="95" t="s">
        <v>291</v>
      </c>
      <c r="D27" s="110">
        <v>11</v>
      </c>
      <c r="E27" s="110">
        <f t="shared" si="0"/>
        <v>256</v>
      </c>
      <c r="F27" s="110" t="s">
        <v>234</v>
      </c>
    </row>
    <row r="28" spans="1:6">
      <c r="A28" s="113">
        <v>46443</v>
      </c>
      <c r="B28" s="109" t="s">
        <v>278</v>
      </c>
      <c r="C28" s="95" t="s">
        <v>292</v>
      </c>
      <c r="D28" s="110">
        <v>10</v>
      </c>
      <c r="E28" s="110">
        <f t="shared" si="0"/>
        <v>266</v>
      </c>
      <c r="F28" s="110" t="s">
        <v>234</v>
      </c>
    </row>
    <row r="29" spans="1:6">
      <c r="A29" s="113">
        <v>46444</v>
      </c>
      <c r="B29" s="109" t="s">
        <v>280</v>
      </c>
      <c r="C29" s="95" t="s">
        <v>293</v>
      </c>
      <c r="D29" s="110">
        <v>1</v>
      </c>
      <c r="E29" s="110">
        <f t="shared" si="0"/>
        <v>267</v>
      </c>
      <c r="F29" s="110" t="s">
        <v>234</v>
      </c>
    </row>
    <row r="30" spans="1:6">
      <c r="A30" s="113">
        <v>46399</v>
      </c>
      <c r="B30" s="109" t="s">
        <v>278</v>
      </c>
      <c r="C30" s="95" t="s">
        <v>294</v>
      </c>
      <c r="D30" s="110">
        <v>2</v>
      </c>
      <c r="E30" s="110">
        <f t="shared" si="0"/>
        <v>269</v>
      </c>
      <c r="F30" s="110" t="s">
        <v>242</v>
      </c>
    </row>
    <row r="31" spans="1:6">
      <c r="A31" s="113">
        <v>46409</v>
      </c>
      <c r="B31" s="109" t="s">
        <v>280</v>
      </c>
      <c r="C31" s="95" t="s">
        <v>295</v>
      </c>
      <c r="D31" s="110">
        <v>48</v>
      </c>
      <c r="E31" s="110">
        <f t="shared" si="0"/>
        <v>317</v>
      </c>
      <c r="F31" s="110" t="s">
        <v>242</v>
      </c>
    </row>
    <row r="32" spans="1:6">
      <c r="A32" s="113">
        <v>46420</v>
      </c>
      <c r="B32" s="109" t="s">
        <v>278</v>
      </c>
      <c r="C32" s="95" t="s">
        <v>296</v>
      </c>
      <c r="D32" s="110">
        <v>15</v>
      </c>
      <c r="E32" s="110">
        <f t="shared" si="0"/>
        <v>332</v>
      </c>
      <c r="F32" s="110" t="s">
        <v>242</v>
      </c>
    </row>
    <row r="33" spans="1:9">
      <c r="A33" s="113">
        <v>46426</v>
      </c>
      <c r="B33" s="109" t="s">
        <v>280</v>
      </c>
      <c r="C33" s="95" t="s">
        <v>297</v>
      </c>
      <c r="D33" s="110">
        <v>22</v>
      </c>
      <c r="E33" s="110">
        <f t="shared" si="0"/>
        <v>354</v>
      </c>
      <c r="F33" s="110" t="s">
        <v>242</v>
      </c>
    </row>
    <row r="34" spans="1:9">
      <c r="A34" s="113">
        <v>46430</v>
      </c>
      <c r="B34" s="109" t="s">
        <v>278</v>
      </c>
      <c r="C34" s="95" t="s">
        <v>216</v>
      </c>
      <c r="D34" s="110">
        <v>22</v>
      </c>
      <c r="E34" s="110">
        <f t="shared" si="0"/>
        <v>376</v>
      </c>
      <c r="F34" s="110" t="s">
        <v>242</v>
      </c>
    </row>
    <row r="35" spans="1:9">
      <c r="A35" s="113">
        <v>46448</v>
      </c>
      <c r="B35" s="109" t="s">
        <v>280</v>
      </c>
      <c r="C35" s="95" t="s">
        <v>298</v>
      </c>
      <c r="D35" s="110">
        <v>7</v>
      </c>
      <c r="E35" s="110">
        <f t="shared" si="0"/>
        <v>383</v>
      </c>
      <c r="F35" s="110" t="s">
        <v>234</v>
      </c>
    </row>
    <row r="36" spans="1:9">
      <c r="A36" s="113">
        <v>46434</v>
      </c>
      <c r="B36" s="109" t="s">
        <v>278</v>
      </c>
      <c r="C36" s="95" t="s">
        <v>260</v>
      </c>
      <c r="D36" s="110">
        <v>4</v>
      </c>
      <c r="E36" s="110">
        <f t="shared" si="0"/>
        <v>387</v>
      </c>
      <c r="F36" s="110" t="s">
        <v>242</v>
      </c>
    </row>
    <row r="37" spans="1:9">
      <c r="A37" s="113">
        <v>46437</v>
      </c>
      <c r="B37" s="109" t="s">
        <v>280</v>
      </c>
      <c r="C37" s="95" t="s">
        <v>252</v>
      </c>
      <c r="D37" s="110">
        <v>11</v>
      </c>
      <c r="E37" s="110">
        <f t="shared" si="0"/>
        <v>398</v>
      </c>
      <c r="F37" s="110" t="s">
        <v>242</v>
      </c>
    </row>
    <row r="38" spans="1:9">
      <c r="A38" s="113">
        <v>46450</v>
      </c>
      <c r="B38" s="109" t="s">
        <v>278</v>
      </c>
      <c r="C38" s="95" t="s">
        <v>259</v>
      </c>
      <c r="D38" s="110">
        <v>3</v>
      </c>
      <c r="E38" s="110">
        <f t="shared" si="0"/>
        <v>401</v>
      </c>
      <c r="F38" s="110" t="s">
        <v>234</v>
      </c>
    </row>
    <row r="39" spans="1:9">
      <c r="A39" s="113">
        <v>46441</v>
      </c>
      <c r="B39" s="109" t="s">
        <v>280</v>
      </c>
      <c r="C39" s="95" t="s">
        <v>299</v>
      </c>
      <c r="D39" s="110">
        <v>7</v>
      </c>
      <c r="E39" s="110">
        <f t="shared" si="0"/>
        <v>408</v>
      </c>
      <c r="F39" s="110" t="s">
        <v>242</v>
      </c>
    </row>
    <row r="40" spans="1:9">
      <c r="A40" s="113">
        <v>46455</v>
      </c>
      <c r="B40" s="109" t="s">
        <v>278</v>
      </c>
      <c r="C40" s="95" t="s">
        <v>300</v>
      </c>
      <c r="D40" s="110">
        <v>11</v>
      </c>
      <c r="E40" s="110">
        <f t="shared" si="0"/>
        <v>419</v>
      </c>
      <c r="F40" s="110" t="s">
        <v>234</v>
      </c>
    </row>
    <row r="41" spans="1:9">
      <c r="A41" s="113">
        <v>46458</v>
      </c>
      <c r="B41" s="109" t="s">
        <v>280</v>
      </c>
      <c r="C41" s="95" t="s">
        <v>301</v>
      </c>
      <c r="D41" s="110">
        <v>17</v>
      </c>
      <c r="E41" s="110">
        <f t="shared" si="0"/>
        <v>436</v>
      </c>
      <c r="F41" s="110" t="s">
        <v>234</v>
      </c>
    </row>
    <row r="42" spans="1:9">
      <c r="A42" s="113">
        <v>46464</v>
      </c>
      <c r="B42" s="109" t="s">
        <v>278</v>
      </c>
      <c r="C42" s="95" t="s">
        <v>302</v>
      </c>
      <c r="D42" s="110">
        <v>20</v>
      </c>
      <c r="E42" s="110">
        <f t="shared" si="0"/>
        <v>456</v>
      </c>
      <c r="F42" s="110" t="s">
        <v>234</v>
      </c>
    </row>
    <row r="43" spans="1:9">
      <c r="A43" s="113">
        <v>46444</v>
      </c>
      <c r="B43" s="109" t="s">
        <v>280</v>
      </c>
      <c r="C43" s="95" t="s">
        <v>303</v>
      </c>
      <c r="D43" s="110">
        <v>16</v>
      </c>
      <c r="E43" s="110">
        <f t="shared" si="0"/>
        <v>472</v>
      </c>
      <c r="F43" s="110" t="s">
        <v>242</v>
      </c>
    </row>
    <row r="44" spans="1:9">
      <c r="A44" s="113">
        <v>46447</v>
      </c>
      <c r="B44" s="109" t="s">
        <v>278</v>
      </c>
      <c r="C44" s="95" t="s">
        <v>304</v>
      </c>
      <c r="D44" s="110">
        <v>1</v>
      </c>
      <c r="E44" s="110">
        <f t="shared" si="0"/>
        <v>473</v>
      </c>
      <c r="F44" s="110" t="s">
        <v>242</v>
      </c>
    </row>
    <row r="45" spans="1:9">
      <c r="A45" s="113">
        <v>46465</v>
      </c>
      <c r="B45" s="109" t="s">
        <v>280</v>
      </c>
      <c r="C45" s="95" t="s">
        <v>305</v>
      </c>
      <c r="D45" s="110">
        <v>3</v>
      </c>
      <c r="E45" s="110">
        <f t="shared" si="0"/>
        <v>476</v>
      </c>
      <c r="F45" s="110" t="s">
        <v>234</v>
      </c>
    </row>
    <row r="48" spans="1:9">
      <c r="A48" s="145" t="s">
        <v>53</v>
      </c>
      <c r="B48" s="127"/>
      <c r="C48" s="127"/>
      <c r="D48" s="127"/>
      <c r="E48" s="127"/>
      <c r="F48" s="127"/>
      <c r="G48" s="127"/>
      <c r="H48" s="12"/>
      <c r="I48" s="12"/>
    </row>
    <row r="49" spans="1:7">
      <c r="A49" s="19" t="s">
        <v>1</v>
      </c>
      <c r="B49" s="19" t="s">
        <v>2</v>
      </c>
      <c r="C49" s="19" t="s">
        <v>54</v>
      </c>
      <c r="D49" s="19" t="s">
        <v>184</v>
      </c>
      <c r="E49" s="19" t="s">
        <v>56</v>
      </c>
      <c r="F49" s="19" t="s">
        <v>57</v>
      </c>
      <c r="G49" s="19" t="s">
        <v>185</v>
      </c>
    </row>
    <row r="50" spans="1:7">
      <c r="A50" s="19" t="s">
        <v>306</v>
      </c>
      <c r="B50" s="19">
        <v>476</v>
      </c>
      <c r="C50" s="20">
        <v>116</v>
      </c>
      <c r="D50" s="19" t="s">
        <v>276</v>
      </c>
      <c r="E50" s="111">
        <v>46373</v>
      </c>
      <c r="F50" s="111">
        <v>46465</v>
      </c>
      <c r="G50" s="20" t="s">
        <v>307</v>
      </c>
    </row>
  </sheetData>
  <mergeCells count="4">
    <mergeCell ref="A1:F1"/>
    <mergeCell ref="A5:D5"/>
    <mergeCell ref="A9:G9"/>
    <mergeCell ref="A48:G4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D98D8-35C4-7A41-997A-3DCCF0E178B0}">
  <dimension ref="A1:H44"/>
  <sheetViews>
    <sheetView workbookViewId="0">
      <selection activeCell="F39" sqref="F39"/>
    </sheetView>
  </sheetViews>
  <sheetFormatPr defaultColWidth="54.28515625" defaultRowHeight="15"/>
  <cols>
    <col min="1" max="1" width="18.42578125" bestFit="1" customWidth="1"/>
    <col min="5" max="5" width="23.85546875" customWidth="1"/>
  </cols>
  <sheetData>
    <row r="1" spans="1:8">
      <c r="A1" s="153" t="s">
        <v>0</v>
      </c>
      <c r="B1" s="153"/>
      <c r="C1" s="153"/>
      <c r="D1" s="153"/>
      <c r="E1" s="153"/>
      <c r="F1" s="153"/>
    </row>
    <row r="2" spans="1:8" ht="15.95">
      <c r="A2" s="19" t="s">
        <v>1</v>
      </c>
      <c r="B2" s="62" t="s">
        <v>2</v>
      </c>
      <c r="C2" s="62" t="s">
        <v>3</v>
      </c>
      <c r="D2" s="62" t="s">
        <v>4</v>
      </c>
      <c r="E2" s="19" t="s">
        <v>5</v>
      </c>
      <c r="F2" s="19" t="s">
        <v>6</v>
      </c>
    </row>
    <row r="3" spans="1:8" ht="15.95">
      <c r="A3" s="80" t="s">
        <v>308</v>
      </c>
      <c r="B3" s="40">
        <v>124</v>
      </c>
      <c r="C3" s="40">
        <v>73</v>
      </c>
      <c r="D3" s="40">
        <v>47</v>
      </c>
      <c r="E3" s="40">
        <v>4</v>
      </c>
      <c r="F3" s="92">
        <f>C3/B3</f>
        <v>0.58870967741935487</v>
      </c>
    </row>
    <row r="4" spans="1:8">
      <c r="B4" s="9"/>
      <c r="C4" s="9"/>
      <c r="D4" s="9"/>
    </row>
    <row r="5" spans="1:8" ht="15.75">
      <c r="A5" s="155" t="s">
        <v>309</v>
      </c>
      <c r="B5" s="155"/>
      <c r="C5" s="155"/>
      <c r="D5" s="155"/>
      <c r="E5" s="155"/>
      <c r="F5" s="155"/>
      <c r="G5" s="155"/>
    </row>
    <row r="6" spans="1:8">
      <c r="A6" s="118" t="s">
        <v>310</v>
      </c>
      <c r="B6" s="118" t="s">
        <v>311</v>
      </c>
      <c r="C6" s="118" t="s">
        <v>312</v>
      </c>
      <c r="D6" s="118" t="s">
        <v>313</v>
      </c>
      <c r="E6" s="118"/>
      <c r="F6" s="118"/>
      <c r="G6" s="118"/>
    </row>
    <row r="7" spans="1:8" ht="43.5">
      <c r="A7" s="117" t="s">
        <v>314</v>
      </c>
      <c r="B7" s="117" t="s">
        <v>315</v>
      </c>
      <c r="C7" s="117" t="s">
        <v>316</v>
      </c>
      <c r="D7" s="117" t="s">
        <v>317</v>
      </c>
      <c r="E7" s="117"/>
      <c r="F7" s="117"/>
      <c r="G7" s="117"/>
      <c r="H7" s="117"/>
    </row>
    <row r="8" spans="1:8" ht="28.5">
      <c r="A8" s="117" t="s">
        <v>318</v>
      </c>
      <c r="B8" s="117" t="s">
        <v>319</v>
      </c>
      <c r="C8" s="117" t="s">
        <v>320</v>
      </c>
      <c r="D8" s="117" t="s">
        <v>321</v>
      </c>
      <c r="E8" s="117"/>
      <c r="F8" s="117"/>
      <c r="G8" s="117"/>
      <c r="H8" s="117"/>
    </row>
    <row r="9" spans="1:8" ht="28.5">
      <c r="A9" s="117" t="s">
        <v>322</v>
      </c>
      <c r="B9" s="117" t="s">
        <v>323</v>
      </c>
      <c r="C9" s="117" t="s">
        <v>324</v>
      </c>
      <c r="D9" s="117" t="s">
        <v>325</v>
      </c>
      <c r="E9" s="117"/>
      <c r="F9" s="117"/>
      <c r="G9" s="117"/>
      <c r="H9" s="117"/>
    </row>
    <row r="10" spans="1:8" ht="28.5">
      <c r="A10" s="117" t="s">
        <v>326</v>
      </c>
      <c r="B10" s="117" t="s">
        <v>327</v>
      </c>
      <c r="C10" s="117" t="s">
        <v>328</v>
      </c>
      <c r="D10" s="117" t="s">
        <v>325</v>
      </c>
      <c r="E10" s="117"/>
      <c r="F10" s="117"/>
      <c r="G10" s="117"/>
      <c r="H10" s="117"/>
    </row>
    <row r="11" spans="1:8">
      <c r="B11" s="9"/>
      <c r="C11" s="9"/>
      <c r="D11" s="9"/>
    </row>
    <row r="12" spans="1:8" ht="15.75">
      <c r="A12" s="155" t="s">
        <v>329</v>
      </c>
      <c r="B12" s="155"/>
      <c r="C12" s="155"/>
      <c r="D12" s="155"/>
      <c r="E12" s="155"/>
      <c r="F12" s="155"/>
      <c r="G12" s="155"/>
    </row>
    <row r="13" spans="1:8" ht="28.5">
      <c r="A13" s="118" t="s">
        <v>30</v>
      </c>
      <c r="B13" s="118" t="s">
        <v>330</v>
      </c>
      <c r="C13" s="118" t="s">
        <v>331</v>
      </c>
      <c r="D13" s="118" t="s">
        <v>332</v>
      </c>
      <c r="E13" s="118" t="s">
        <v>333</v>
      </c>
      <c r="F13" s="118" t="s">
        <v>334</v>
      </c>
      <c r="G13" s="118" t="s">
        <v>35</v>
      </c>
    </row>
    <row r="14" spans="1:8">
      <c r="A14" s="120">
        <v>46253</v>
      </c>
      <c r="B14" s="117" t="s">
        <v>335</v>
      </c>
      <c r="C14" s="117" t="s">
        <v>336</v>
      </c>
      <c r="D14" s="121">
        <v>3</v>
      </c>
      <c r="E14" s="117">
        <v>3</v>
      </c>
      <c r="F14" s="117" t="s">
        <v>337</v>
      </c>
      <c r="G14" s="117" t="s">
        <v>338</v>
      </c>
    </row>
    <row r="15" spans="1:8">
      <c r="A15" s="120">
        <v>46260</v>
      </c>
      <c r="B15" s="117" t="s">
        <v>335</v>
      </c>
      <c r="C15" s="117" t="s">
        <v>339</v>
      </c>
      <c r="D15" s="121">
        <v>1</v>
      </c>
      <c r="E15" s="117">
        <v>4</v>
      </c>
      <c r="F15" s="117" t="s">
        <v>337</v>
      </c>
      <c r="G15" s="117" t="s">
        <v>340</v>
      </c>
    </row>
    <row r="16" spans="1:8">
      <c r="A16" s="120">
        <v>46268</v>
      </c>
      <c r="B16" s="117" t="s">
        <v>335</v>
      </c>
      <c r="C16" s="117" t="s">
        <v>341</v>
      </c>
      <c r="D16" s="121">
        <v>3</v>
      </c>
      <c r="E16" s="117">
        <v>7</v>
      </c>
      <c r="F16" s="117" t="s">
        <v>337</v>
      </c>
      <c r="G16" s="117" t="s">
        <v>342</v>
      </c>
    </row>
    <row r="17" spans="1:7">
      <c r="A17" s="120">
        <v>46269</v>
      </c>
      <c r="B17" s="117" t="s">
        <v>335</v>
      </c>
      <c r="C17" s="117" t="s">
        <v>343</v>
      </c>
      <c r="D17" s="121">
        <v>1</v>
      </c>
      <c r="E17" s="117">
        <v>8</v>
      </c>
      <c r="F17" s="117" t="s">
        <v>337</v>
      </c>
      <c r="G17" s="117" t="s">
        <v>340</v>
      </c>
    </row>
    <row r="18" spans="1:7">
      <c r="A18" s="120">
        <v>46272</v>
      </c>
      <c r="B18" s="117" t="s">
        <v>335</v>
      </c>
      <c r="C18" s="117" t="s">
        <v>344</v>
      </c>
      <c r="D18" s="121">
        <v>3</v>
      </c>
      <c r="E18" s="117">
        <v>11</v>
      </c>
      <c r="F18" s="117" t="s">
        <v>337</v>
      </c>
      <c r="G18" s="117" t="s">
        <v>338</v>
      </c>
    </row>
    <row r="19" spans="1:7">
      <c r="A19" s="120">
        <v>46275</v>
      </c>
      <c r="B19" s="117" t="s">
        <v>335</v>
      </c>
      <c r="C19" s="117" t="s">
        <v>345</v>
      </c>
      <c r="D19" s="121">
        <v>2</v>
      </c>
      <c r="E19" s="117">
        <v>13</v>
      </c>
      <c r="F19" s="117" t="s">
        <v>337</v>
      </c>
      <c r="G19" s="117" t="s">
        <v>346</v>
      </c>
    </row>
    <row r="20" spans="1:7">
      <c r="A20" s="120">
        <v>46283</v>
      </c>
      <c r="B20" s="117" t="s">
        <v>335</v>
      </c>
      <c r="C20" s="117" t="s">
        <v>347</v>
      </c>
      <c r="D20" s="121">
        <v>1</v>
      </c>
      <c r="E20" s="117">
        <v>14</v>
      </c>
      <c r="F20" s="117" t="s">
        <v>337</v>
      </c>
      <c r="G20" s="117" t="s">
        <v>340</v>
      </c>
    </row>
    <row r="21" spans="1:7">
      <c r="A21" s="120">
        <v>46286</v>
      </c>
      <c r="B21" s="117" t="s">
        <v>335</v>
      </c>
      <c r="C21" s="117" t="s">
        <v>348</v>
      </c>
      <c r="D21" s="121">
        <v>4</v>
      </c>
      <c r="E21" s="117">
        <v>18</v>
      </c>
      <c r="F21" s="117" t="s">
        <v>337</v>
      </c>
      <c r="G21" s="117" t="s">
        <v>342</v>
      </c>
    </row>
    <row r="22" spans="1:7">
      <c r="A22" s="120">
        <v>46287</v>
      </c>
      <c r="B22" s="117" t="s">
        <v>335</v>
      </c>
      <c r="C22" s="117" t="s">
        <v>349</v>
      </c>
      <c r="D22" s="121">
        <v>5</v>
      </c>
      <c r="E22" s="117">
        <v>23</v>
      </c>
      <c r="F22" s="117" t="s">
        <v>337</v>
      </c>
      <c r="G22" s="117" t="s">
        <v>342</v>
      </c>
    </row>
    <row r="23" spans="1:7">
      <c r="A23" s="120">
        <v>46290</v>
      </c>
      <c r="B23" s="117" t="s">
        <v>335</v>
      </c>
      <c r="C23" s="117" t="s">
        <v>350</v>
      </c>
      <c r="D23" s="121">
        <v>6</v>
      </c>
      <c r="E23" s="117">
        <v>29</v>
      </c>
      <c r="F23" s="117" t="s">
        <v>337</v>
      </c>
      <c r="G23" s="117" t="s">
        <v>342</v>
      </c>
    </row>
    <row r="24" spans="1:7">
      <c r="A24" s="120">
        <v>46293</v>
      </c>
      <c r="B24" s="117" t="s">
        <v>335</v>
      </c>
      <c r="C24" s="117" t="s">
        <v>351</v>
      </c>
      <c r="D24" s="121">
        <v>2</v>
      </c>
      <c r="E24" s="117">
        <v>31</v>
      </c>
      <c r="F24" s="117" t="s">
        <v>337</v>
      </c>
      <c r="G24" s="117" t="s">
        <v>342</v>
      </c>
    </row>
    <row r="25" spans="1:7" ht="43.5">
      <c r="A25" s="120">
        <v>46295</v>
      </c>
      <c r="B25" s="117" t="s">
        <v>335</v>
      </c>
      <c r="C25" s="117" t="s">
        <v>352</v>
      </c>
      <c r="D25" s="121">
        <v>14</v>
      </c>
      <c r="E25" s="117">
        <v>45</v>
      </c>
      <c r="F25" s="117" t="s">
        <v>337</v>
      </c>
      <c r="G25" s="117" t="s">
        <v>342</v>
      </c>
    </row>
    <row r="26" spans="1:7" ht="28.5">
      <c r="A26" s="120">
        <v>46296</v>
      </c>
      <c r="B26" s="117" t="s">
        <v>335</v>
      </c>
      <c r="C26" s="117" t="s">
        <v>353</v>
      </c>
      <c r="D26" s="121">
        <v>2</v>
      </c>
      <c r="E26" s="117">
        <v>47</v>
      </c>
      <c r="F26" s="117" t="s">
        <v>337</v>
      </c>
      <c r="G26" s="117" t="s">
        <v>354</v>
      </c>
    </row>
    <row r="27" spans="1:7" ht="57.75">
      <c r="A27" s="120">
        <v>46301</v>
      </c>
      <c r="B27" s="117" t="s">
        <v>335</v>
      </c>
      <c r="C27" s="117" t="s">
        <v>355</v>
      </c>
      <c r="D27" s="121">
        <v>19</v>
      </c>
      <c r="E27" s="117">
        <v>66</v>
      </c>
      <c r="F27" s="117" t="s">
        <v>337</v>
      </c>
      <c r="G27" s="117" t="s">
        <v>356</v>
      </c>
    </row>
    <row r="28" spans="1:7" ht="28.5">
      <c r="A28" s="120">
        <v>46309</v>
      </c>
      <c r="B28" s="117" t="s">
        <v>335</v>
      </c>
      <c r="C28" s="117" t="s">
        <v>357</v>
      </c>
      <c r="D28" s="121">
        <v>3</v>
      </c>
      <c r="E28" s="117">
        <v>69</v>
      </c>
      <c r="F28" s="117" t="s">
        <v>337</v>
      </c>
      <c r="G28" s="117" t="s">
        <v>358</v>
      </c>
    </row>
    <row r="29" spans="1:7" ht="43.5">
      <c r="A29" s="120">
        <v>46317</v>
      </c>
      <c r="B29" s="117" t="s">
        <v>335</v>
      </c>
      <c r="C29" s="117" t="s">
        <v>359</v>
      </c>
      <c r="D29" s="121">
        <v>4</v>
      </c>
      <c r="E29" s="117">
        <v>73</v>
      </c>
      <c r="F29" s="117" t="s">
        <v>337</v>
      </c>
      <c r="G29" s="117" t="s">
        <v>360</v>
      </c>
    </row>
    <row r="30" spans="1:7">
      <c r="A30" s="123">
        <v>46318</v>
      </c>
      <c r="B30" s="122" t="s">
        <v>335</v>
      </c>
      <c r="C30" s="122" t="s">
        <v>361</v>
      </c>
      <c r="D30" s="124">
        <v>0</v>
      </c>
      <c r="E30" s="122">
        <v>73</v>
      </c>
      <c r="F30" s="122" t="s">
        <v>337</v>
      </c>
      <c r="G30" s="122" t="s">
        <v>362</v>
      </c>
    </row>
    <row r="31" spans="1:7" ht="28.5">
      <c r="A31" s="123">
        <v>46321</v>
      </c>
      <c r="B31" s="122" t="s">
        <v>335</v>
      </c>
      <c r="C31" s="122" t="s">
        <v>363</v>
      </c>
      <c r="D31" s="124">
        <v>0</v>
      </c>
      <c r="E31" s="122">
        <v>73</v>
      </c>
      <c r="F31" s="122" t="s">
        <v>337</v>
      </c>
      <c r="G31" s="122" t="s">
        <v>364</v>
      </c>
    </row>
    <row r="32" spans="1:7">
      <c r="A32" s="123">
        <v>46322</v>
      </c>
      <c r="B32" s="122" t="s">
        <v>335</v>
      </c>
      <c r="C32" s="122" t="s">
        <v>365</v>
      </c>
      <c r="D32" s="124">
        <v>0</v>
      </c>
      <c r="E32" s="122">
        <v>73</v>
      </c>
      <c r="F32" s="122" t="s">
        <v>337</v>
      </c>
      <c r="G32" s="122" t="s">
        <v>366</v>
      </c>
    </row>
    <row r="33" spans="1:7">
      <c r="A33" s="123">
        <v>46323</v>
      </c>
      <c r="B33" s="122" t="s">
        <v>335</v>
      </c>
      <c r="C33" s="122" t="s">
        <v>367</v>
      </c>
      <c r="D33" s="124">
        <v>0</v>
      </c>
      <c r="E33" s="122">
        <v>73</v>
      </c>
      <c r="F33" s="122" t="s">
        <v>337</v>
      </c>
      <c r="G33" s="122" t="s">
        <v>368</v>
      </c>
    </row>
    <row r="34" spans="1:7" ht="28.5">
      <c r="A34" s="123">
        <v>46324</v>
      </c>
      <c r="B34" s="122" t="s">
        <v>335</v>
      </c>
      <c r="C34" s="122" t="s">
        <v>369</v>
      </c>
      <c r="D34" s="124">
        <v>0</v>
      </c>
      <c r="E34" s="122">
        <v>73</v>
      </c>
      <c r="F34" s="122" t="s">
        <v>337</v>
      </c>
      <c r="G34" s="122" t="s">
        <v>370</v>
      </c>
    </row>
    <row r="35" spans="1:7">
      <c r="A35" s="123">
        <v>46325</v>
      </c>
      <c r="B35" s="122" t="s">
        <v>335</v>
      </c>
      <c r="C35" s="122" t="s">
        <v>371</v>
      </c>
      <c r="D35" s="124">
        <v>0</v>
      </c>
      <c r="E35" s="122">
        <v>73</v>
      </c>
      <c r="F35" s="122" t="s">
        <v>337</v>
      </c>
      <c r="G35" s="122" t="s">
        <v>372</v>
      </c>
    </row>
    <row r="36" spans="1:7" ht="28.5">
      <c r="A36" s="123">
        <v>46328</v>
      </c>
      <c r="B36" s="122" t="s">
        <v>335</v>
      </c>
      <c r="C36" s="122" t="s">
        <v>373</v>
      </c>
      <c r="D36" s="124">
        <v>0</v>
      </c>
      <c r="E36" s="122">
        <v>73</v>
      </c>
      <c r="F36" s="122" t="s">
        <v>337</v>
      </c>
      <c r="G36" s="122" t="s">
        <v>374</v>
      </c>
    </row>
    <row r="37" spans="1:7">
      <c r="A37" s="123">
        <v>46329</v>
      </c>
      <c r="B37" s="122" t="s">
        <v>335</v>
      </c>
      <c r="C37" s="122" t="s">
        <v>375</v>
      </c>
      <c r="D37" s="124">
        <v>0</v>
      </c>
      <c r="E37" s="122">
        <v>73</v>
      </c>
      <c r="F37" s="122" t="s">
        <v>337</v>
      </c>
      <c r="G37" s="122" t="s">
        <v>376</v>
      </c>
    </row>
    <row r="38" spans="1:7" ht="28.5">
      <c r="A38" s="123">
        <v>46329</v>
      </c>
      <c r="B38" s="122" t="s">
        <v>335</v>
      </c>
      <c r="C38" s="122" t="s">
        <v>377</v>
      </c>
      <c r="D38" s="124">
        <v>0</v>
      </c>
      <c r="E38" s="122">
        <v>73</v>
      </c>
      <c r="F38" s="122" t="s">
        <v>337</v>
      </c>
      <c r="G38" s="122" t="s">
        <v>378</v>
      </c>
    </row>
    <row r="39" spans="1:7" ht="86.25">
      <c r="A39" s="125" t="s">
        <v>232</v>
      </c>
      <c r="B39" s="125" t="s">
        <v>335</v>
      </c>
      <c r="C39" s="125" t="s">
        <v>379</v>
      </c>
      <c r="D39" s="126">
        <v>0</v>
      </c>
      <c r="E39" s="125">
        <v>73</v>
      </c>
      <c r="F39" s="125" t="s">
        <v>337</v>
      </c>
      <c r="G39" s="125" t="s">
        <v>380</v>
      </c>
    </row>
    <row r="40" spans="1:7">
      <c r="A40" s="115"/>
    </row>
    <row r="41" spans="1:7">
      <c r="B41" s="9"/>
      <c r="C41" s="9"/>
      <c r="D41" s="9"/>
    </row>
    <row r="42" spans="1:7" ht="15.75">
      <c r="A42" s="155" t="s">
        <v>381</v>
      </c>
      <c r="B42" s="155"/>
      <c r="C42" s="155"/>
      <c r="D42" s="155"/>
      <c r="E42" s="155"/>
      <c r="F42" s="155"/>
      <c r="G42" s="155"/>
    </row>
    <row r="43" spans="1:7" ht="28.5">
      <c r="A43" s="118" t="s">
        <v>330</v>
      </c>
      <c r="B43" s="118" t="s">
        <v>382</v>
      </c>
      <c r="C43" s="118" t="s">
        <v>383</v>
      </c>
      <c r="D43" s="118" t="s">
        <v>384</v>
      </c>
      <c r="E43" s="118" t="s">
        <v>385</v>
      </c>
      <c r="F43" s="118" t="s">
        <v>386</v>
      </c>
      <c r="G43" s="118" t="s">
        <v>185</v>
      </c>
    </row>
    <row r="44" spans="1:7" ht="28.5">
      <c r="A44" s="117" t="s">
        <v>335</v>
      </c>
      <c r="B44" s="117">
        <v>124</v>
      </c>
      <c r="C44" s="117" t="s">
        <v>387</v>
      </c>
      <c r="D44" s="117">
        <v>1.52</v>
      </c>
      <c r="E44" s="119">
        <v>46252</v>
      </c>
      <c r="F44" s="119">
        <v>46329</v>
      </c>
      <c r="G44" s="117" t="s">
        <v>388</v>
      </c>
    </row>
  </sheetData>
  <mergeCells count="4">
    <mergeCell ref="A1:F1"/>
    <mergeCell ref="A12:G12"/>
    <mergeCell ref="A42:G42"/>
    <mergeCell ref="A5:G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E908-030B-412E-AB75-B7A16C60746C}">
  <dimension ref="A1:G62"/>
  <sheetViews>
    <sheetView topLeftCell="A32" workbookViewId="0">
      <selection activeCell="G62" sqref="A60:G62"/>
    </sheetView>
  </sheetViews>
  <sheetFormatPr defaultColWidth="8.85546875" defaultRowHeight="15"/>
  <cols>
    <col min="1" max="1" width="23" bestFit="1" customWidth="1"/>
    <col min="2" max="2" width="34.42578125" style="9" customWidth="1"/>
    <col min="3" max="3" width="52" style="9" customWidth="1"/>
    <col min="4" max="4" width="83.85546875" style="9" customWidth="1"/>
    <col min="5" max="5" width="22.28515625" bestFit="1" customWidth="1"/>
    <col min="6" max="6" width="24.42578125" bestFit="1" customWidth="1"/>
    <col min="7" max="7" width="19.140625" bestFit="1" customWidth="1"/>
  </cols>
  <sheetData>
    <row r="1" spans="1:7">
      <c r="A1" s="154" t="s">
        <v>0</v>
      </c>
      <c r="B1" s="154"/>
      <c r="C1" s="154"/>
      <c r="D1" s="154"/>
      <c r="E1" s="154"/>
      <c r="F1" s="154"/>
    </row>
    <row r="2" spans="1:7" ht="15.95">
      <c r="A2" s="49" t="s">
        <v>1</v>
      </c>
      <c r="B2" s="52" t="s">
        <v>2</v>
      </c>
      <c r="C2" s="52" t="s">
        <v>3</v>
      </c>
      <c r="D2" s="52" t="s">
        <v>4</v>
      </c>
      <c r="E2" s="49" t="s">
        <v>5</v>
      </c>
      <c r="F2" s="49" t="s">
        <v>6</v>
      </c>
    </row>
    <row r="3" spans="1:7" ht="15.95">
      <c r="A3" s="53" t="s">
        <v>389</v>
      </c>
      <c r="B3" s="53">
        <v>278</v>
      </c>
      <c r="C3" s="53">
        <v>117</v>
      </c>
      <c r="D3" s="53">
        <v>6</v>
      </c>
      <c r="E3" s="53">
        <v>155</v>
      </c>
      <c r="F3" s="54">
        <v>0.4209</v>
      </c>
    </row>
    <row r="5" spans="1:7">
      <c r="A5" s="139" t="s">
        <v>8</v>
      </c>
      <c r="B5" s="140"/>
      <c r="C5" s="140"/>
      <c r="D5" s="141"/>
    </row>
    <row r="6" spans="1:7" ht="15.95">
      <c r="A6" s="2" t="s">
        <v>9</v>
      </c>
      <c r="B6" s="17" t="s">
        <v>10</v>
      </c>
      <c r="C6" s="17" t="s">
        <v>11</v>
      </c>
      <c r="D6" s="17" t="s">
        <v>61</v>
      </c>
    </row>
    <row r="7" spans="1:7" ht="48">
      <c r="A7" s="3" t="s">
        <v>390</v>
      </c>
      <c r="B7" s="10" t="s">
        <v>391</v>
      </c>
      <c r="C7" s="10" t="s">
        <v>392</v>
      </c>
      <c r="D7" s="10" t="s">
        <v>393</v>
      </c>
    </row>
    <row r="8" spans="1:7" ht="32.1">
      <c r="A8" s="3" t="s">
        <v>394</v>
      </c>
      <c r="B8" s="10" t="s">
        <v>395</v>
      </c>
      <c r="C8" s="10" t="s">
        <v>396</v>
      </c>
      <c r="D8" s="10" t="s">
        <v>397</v>
      </c>
    </row>
    <row r="9" spans="1:7" ht="32.1">
      <c r="A9" s="3" t="s">
        <v>398</v>
      </c>
      <c r="B9" s="10" t="s">
        <v>399</v>
      </c>
      <c r="C9" s="10" t="s">
        <v>400</v>
      </c>
      <c r="D9" s="10" t="s">
        <v>401</v>
      </c>
    </row>
    <row r="10" spans="1:7" ht="32.1">
      <c r="A10" s="3" t="s">
        <v>402</v>
      </c>
      <c r="B10" s="10" t="s">
        <v>403</v>
      </c>
      <c r="C10" s="10" t="s">
        <v>404</v>
      </c>
      <c r="D10" s="10" t="s">
        <v>405</v>
      </c>
    </row>
    <row r="11" spans="1:7" ht="32.1">
      <c r="A11" s="3" t="s">
        <v>406</v>
      </c>
      <c r="B11" s="10" t="s">
        <v>407</v>
      </c>
      <c r="C11" s="10" t="s">
        <v>408</v>
      </c>
      <c r="D11" s="10" t="s">
        <v>409</v>
      </c>
    </row>
    <row r="12" spans="1:7" ht="32.1">
      <c r="A12" s="3" t="s">
        <v>410</v>
      </c>
      <c r="B12" s="10" t="s">
        <v>411</v>
      </c>
      <c r="C12" s="10" t="s">
        <v>412</v>
      </c>
      <c r="D12" s="10" t="s">
        <v>413</v>
      </c>
    </row>
    <row r="14" spans="1:7">
      <c r="A14" s="131" t="s">
        <v>29</v>
      </c>
      <c r="B14" s="131"/>
      <c r="C14" s="131"/>
      <c r="D14" s="131"/>
      <c r="E14" s="131"/>
      <c r="F14" s="131"/>
      <c r="G14" s="131"/>
    </row>
    <row r="15" spans="1:7">
      <c r="A15" s="2" t="s">
        <v>30</v>
      </c>
      <c r="B15" s="2" t="s">
        <v>1</v>
      </c>
      <c r="C15" s="2" t="s">
        <v>203</v>
      </c>
      <c r="D15" s="2" t="s">
        <v>32</v>
      </c>
      <c r="E15" s="2" t="s">
        <v>33</v>
      </c>
      <c r="F15" s="2" t="s">
        <v>34</v>
      </c>
      <c r="G15" s="2" t="s">
        <v>35</v>
      </c>
    </row>
    <row r="16" spans="1:7">
      <c r="A16" s="5">
        <v>46240</v>
      </c>
      <c r="B16" s="3" t="s">
        <v>414</v>
      </c>
      <c r="C16" s="3" t="s">
        <v>415</v>
      </c>
      <c r="D16" s="3">
        <v>14</v>
      </c>
      <c r="E16" s="3">
        <v>14</v>
      </c>
      <c r="F16" s="3" t="s">
        <v>416</v>
      </c>
      <c r="G16" s="3" t="s">
        <v>417</v>
      </c>
    </row>
    <row r="17" spans="1:7">
      <c r="A17" s="5">
        <v>46243</v>
      </c>
      <c r="B17" s="3" t="s">
        <v>414</v>
      </c>
      <c r="C17" s="3" t="s">
        <v>418</v>
      </c>
      <c r="D17" s="3">
        <v>5</v>
      </c>
      <c r="E17" s="3">
        <v>19</v>
      </c>
      <c r="F17" s="3" t="s">
        <v>416</v>
      </c>
      <c r="G17" s="3" t="s">
        <v>419</v>
      </c>
    </row>
    <row r="18" spans="1:7">
      <c r="A18" s="5">
        <v>46245</v>
      </c>
      <c r="B18" s="3" t="s">
        <v>414</v>
      </c>
      <c r="C18" s="3" t="s">
        <v>420</v>
      </c>
      <c r="D18" s="3">
        <v>5</v>
      </c>
      <c r="E18" s="3">
        <v>24</v>
      </c>
      <c r="F18" s="3" t="s">
        <v>416</v>
      </c>
      <c r="G18" s="3" t="s">
        <v>421</v>
      </c>
    </row>
    <row r="19" spans="1:7">
      <c r="A19" s="5">
        <v>46245</v>
      </c>
      <c r="B19" s="3" t="s">
        <v>414</v>
      </c>
      <c r="C19" s="3" t="s">
        <v>422</v>
      </c>
      <c r="D19" s="3">
        <v>9</v>
      </c>
      <c r="E19" s="3">
        <v>33</v>
      </c>
      <c r="F19" s="3" t="s">
        <v>416</v>
      </c>
      <c r="G19" s="3" t="s">
        <v>423</v>
      </c>
    </row>
    <row r="20" spans="1:7">
      <c r="A20" s="5">
        <v>46247</v>
      </c>
      <c r="B20" s="3" t="s">
        <v>414</v>
      </c>
      <c r="C20" s="3" t="s">
        <v>424</v>
      </c>
      <c r="D20" s="3">
        <v>6</v>
      </c>
      <c r="E20" s="3">
        <v>39</v>
      </c>
      <c r="F20" s="3" t="s">
        <v>416</v>
      </c>
      <c r="G20" s="3" t="s">
        <v>425</v>
      </c>
    </row>
    <row r="21" spans="1:7">
      <c r="A21" s="5">
        <v>46249</v>
      </c>
      <c r="B21" s="3" t="s">
        <v>414</v>
      </c>
      <c r="C21" s="3" t="s">
        <v>426</v>
      </c>
      <c r="D21" s="3">
        <v>6</v>
      </c>
      <c r="E21" s="3">
        <v>45</v>
      </c>
      <c r="F21" s="3" t="s">
        <v>416</v>
      </c>
      <c r="G21" s="3" t="s">
        <v>425</v>
      </c>
    </row>
    <row r="22" spans="1:7">
      <c r="A22" s="5">
        <v>46250</v>
      </c>
      <c r="B22" s="3" t="s">
        <v>414</v>
      </c>
      <c r="C22" s="3" t="s">
        <v>427</v>
      </c>
      <c r="D22" s="3">
        <v>4</v>
      </c>
      <c r="E22" s="3">
        <v>49</v>
      </c>
      <c r="F22" s="3" t="s">
        <v>416</v>
      </c>
      <c r="G22" s="3" t="s">
        <v>425</v>
      </c>
    </row>
    <row r="23" spans="1:7">
      <c r="A23" s="5">
        <v>46252</v>
      </c>
      <c r="B23" s="3" t="s">
        <v>414</v>
      </c>
      <c r="C23" s="3" t="s">
        <v>428</v>
      </c>
      <c r="D23" s="3">
        <v>5</v>
      </c>
      <c r="E23" s="3">
        <v>54</v>
      </c>
      <c r="F23" s="3" t="s">
        <v>416</v>
      </c>
      <c r="G23" s="3" t="s">
        <v>425</v>
      </c>
    </row>
    <row r="24" spans="1:7">
      <c r="A24" s="5">
        <v>46254</v>
      </c>
      <c r="B24" s="3" t="s">
        <v>414</v>
      </c>
      <c r="C24" s="3" t="s">
        <v>429</v>
      </c>
      <c r="D24" s="3">
        <v>5</v>
      </c>
      <c r="E24" s="3">
        <v>59</v>
      </c>
      <c r="F24" s="3" t="s">
        <v>416</v>
      </c>
      <c r="G24" s="3" t="s">
        <v>425</v>
      </c>
    </row>
    <row r="25" spans="1:7">
      <c r="A25" s="5">
        <v>46256</v>
      </c>
      <c r="B25" s="3" t="s">
        <v>414</v>
      </c>
      <c r="C25" s="3" t="s">
        <v>430</v>
      </c>
      <c r="D25" s="3">
        <v>5</v>
      </c>
      <c r="E25" s="3">
        <v>64</v>
      </c>
      <c r="F25" s="3" t="s">
        <v>416</v>
      </c>
      <c r="G25" s="3" t="s">
        <v>425</v>
      </c>
    </row>
    <row r="26" spans="1:7">
      <c r="A26" s="5">
        <v>46258</v>
      </c>
      <c r="B26" s="3" t="s">
        <v>414</v>
      </c>
      <c r="C26" s="3" t="s">
        <v>431</v>
      </c>
      <c r="D26" s="3">
        <v>6</v>
      </c>
      <c r="E26" s="3">
        <v>70</v>
      </c>
      <c r="F26" s="3" t="s">
        <v>416</v>
      </c>
      <c r="G26" s="3" t="s">
        <v>425</v>
      </c>
    </row>
    <row r="27" spans="1:7">
      <c r="A27" s="5">
        <v>46260</v>
      </c>
      <c r="B27" s="3" t="s">
        <v>414</v>
      </c>
      <c r="C27" s="3" t="s">
        <v>432</v>
      </c>
      <c r="D27" s="3">
        <v>6</v>
      </c>
      <c r="E27" s="3">
        <v>76</v>
      </c>
      <c r="F27" s="3" t="s">
        <v>416</v>
      </c>
      <c r="G27" s="3" t="s">
        <v>425</v>
      </c>
    </row>
    <row r="28" spans="1:7">
      <c r="A28" s="5">
        <v>46261</v>
      </c>
      <c r="B28" s="3" t="s">
        <v>414</v>
      </c>
      <c r="C28" s="3" t="s">
        <v>433</v>
      </c>
      <c r="D28" s="3">
        <v>3</v>
      </c>
      <c r="E28" s="3">
        <v>79</v>
      </c>
      <c r="F28" s="3" t="s">
        <v>416</v>
      </c>
      <c r="G28" s="3" t="s">
        <v>425</v>
      </c>
    </row>
    <row r="29" spans="1:7">
      <c r="A29" s="5">
        <v>46263</v>
      </c>
      <c r="B29" s="3" t="s">
        <v>414</v>
      </c>
      <c r="C29" s="3" t="s">
        <v>434</v>
      </c>
      <c r="D29" s="3">
        <v>5</v>
      </c>
      <c r="E29" s="3">
        <v>84</v>
      </c>
      <c r="F29" s="3" t="s">
        <v>416</v>
      </c>
      <c r="G29" s="3" t="s">
        <v>425</v>
      </c>
    </row>
    <row r="30" spans="1:7">
      <c r="A30" s="5">
        <v>46264</v>
      </c>
      <c r="B30" s="3" t="s">
        <v>414</v>
      </c>
      <c r="C30" s="3" t="s">
        <v>435</v>
      </c>
      <c r="D30" s="3">
        <v>3</v>
      </c>
      <c r="E30" s="3">
        <v>87</v>
      </c>
      <c r="F30" s="3" t="s">
        <v>416</v>
      </c>
      <c r="G30" s="3" t="s">
        <v>425</v>
      </c>
    </row>
    <row r="31" spans="1:7">
      <c r="A31" s="5">
        <v>46266</v>
      </c>
      <c r="B31" s="3" t="s">
        <v>414</v>
      </c>
      <c r="C31" s="3" t="s">
        <v>436</v>
      </c>
      <c r="D31" s="3">
        <v>5</v>
      </c>
      <c r="E31" s="3">
        <v>92</v>
      </c>
      <c r="F31" s="3" t="s">
        <v>416</v>
      </c>
      <c r="G31" s="3" t="s">
        <v>425</v>
      </c>
    </row>
    <row r="32" spans="1:7">
      <c r="A32" s="5">
        <v>46268</v>
      </c>
      <c r="B32" s="3" t="s">
        <v>414</v>
      </c>
      <c r="C32" s="3" t="s">
        <v>437</v>
      </c>
      <c r="D32" s="3">
        <v>4</v>
      </c>
      <c r="E32" s="3">
        <v>96</v>
      </c>
      <c r="F32" s="3" t="s">
        <v>416</v>
      </c>
      <c r="G32" s="3" t="s">
        <v>425</v>
      </c>
    </row>
    <row r="33" spans="1:7">
      <c r="A33" s="5">
        <v>46270</v>
      </c>
      <c r="B33" s="3" t="s">
        <v>414</v>
      </c>
      <c r="C33" s="3" t="s">
        <v>438</v>
      </c>
      <c r="D33" s="3">
        <v>4</v>
      </c>
      <c r="E33" s="3">
        <v>100</v>
      </c>
      <c r="F33" s="3" t="s">
        <v>416</v>
      </c>
      <c r="G33" s="3" t="s">
        <v>425</v>
      </c>
    </row>
    <row r="34" spans="1:7">
      <c r="A34" s="5">
        <v>46271</v>
      </c>
      <c r="B34" s="3" t="s">
        <v>414</v>
      </c>
      <c r="C34" s="3" t="s">
        <v>439</v>
      </c>
      <c r="D34" s="3">
        <v>4</v>
      </c>
      <c r="E34" s="3">
        <v>104</v>
      </c>
      <c r="F34" s="3" t="s">
        <v>416</v>
      </c>
      <c r="G34" s="3" t="s">
        <v>425</v>
      </c>
    </row>
    <row r="35" spans="1:7">
      <c r="A35" s="5">
        <v>46273</v>
      </c>
      <c r="B35" s="3" t="s">
        <v>414</v>
      </c>
      <c r="C35" s="3" t="s">
        <v>440</v>
      </c>
      <c r="D35" s="3">
        <v>5</v>
      </c>
      <c r="E35" s="3">
        <v>109</v>
      </c>
      <c r="F35" s="3" t="s">
        <v>416</v>
      </c>
      <c r="G35" s="3" t="s">
        <v>425</v>
      </c>
    </row>
    <row r="36" spans="1:7">
      <c r="A36" s="5">
        <v>46274</v>
      </c>
      <c r="B36" s="3" t="s">
        <v>414</v>
      </c>
      <c r="C36" s="3" t="s">
        <v>441</v>
      </c>
      <c r="D36" s="3">
        <v>4</v>
      </c>
      <c r="E36" s="3">
        <v>113</v>
      </c>
      <c r="F36" s="3" t="s">
        <v>416</v>
      </c>
      <c r="G36" s="3" t="s">
        <v>425</v>
      </c>
    </row>
    <row r="37" spans="1:7">
      <c r="A37" s="5">
        <v>46276</v>
      </c>
      <c r="B37" s="3" t="s">
        <v>414</v>
      </c>
      <c r="C37" s="3" t="s">
        <v>442</v>
      </c>
      <c r="D37" s="3">
        <v>6</v>
      </c>
      <c r="E37" s="3">
        <v>119</v>
      </c>
      <c r="F37" s="3" t="s">
        <v>416</v>
      </c>
      <c r="G37" s="3" t="s">
        <v>425</v>
      </c>
    </row>
    <row r="38" spans="1:7">
      <c r="A38" s="5">
        <v>46278</v>
      </c>
      <c r="B38" s="3" t="s">
        <v>414</v>
      </c>
      <c r="C38" s="3" t="s">
        <v>443</v>
      </c>
      <c r="D38" s="3">
        <v>5</v>
      </c>
      <c r="E38" s="3">
        <v>124</v>
      </c>
      <c r="F38" s="3" t="s">
        <v>416</v>
      </c>
      <c r="G38" s="3" t="s">
        <v>425</v>
      </c>
    </row>
    <row r="39" spans="1:7">
      <c r="A39" s="5">
        <v>46280</v>
      </c>
      <c r="B39" s="3" t="s">
        <v>414</v>
      </c>
      <c r="C39" s="3" t="s">
        <v>444</v>
      </c>
      <c r="D39" s="3">
        <v>6</v>
      </c>
      <c r="E39" s="3">
        <v>130</v>
      </c>
      <c r="F39" s="3" t="s">
        <v>416</v>
      </c>
      <c r="G39" s="3" t="s">
        <v>425</v>
      </c>
    </row>
    <row r="40" spans="1:7">
      <c r="A40" s="5">
        <v>46282</v>
      </c>
      <c r="B40" s="3" t="s">
        <v>414</v>
      </c>
      <c r="C40" s="3" t="s">
        <v>445</v>
      </c>
      <c r="D40" s="3">
        <v>10</v>
      </c>
      <c r="E40" s="3">
        <v>140</v>
      </c>
      <c r="F40" s="3" t="s">
        <v>416</v>
      </c>
      <c r="G40" s="3" t="s">
        <v>446</v>
      </c>
    </row>
    <row r="41" spans="1:7">
      <c r="A41" s="5">
        <v>46284</v>
      </c>
      <c r="B41" s="3" t="s">
        <v>414</v>
      </c>
      <c r="C41" s="3" t="s">
        <v>447</v>
      </c>
      <c r="D41" s="3">
        <v>5</v>
      </c>
      <c r="E41" s="3">
        <v>145</v>
      </c>
      <c r="F41" s="3" t="s">
        <v>416</v>
      </c>
      <c r="G41" s="3" t="s">
        <v>425</v>
      </c>
    </row>
    <row r="42" spans="1:7">
      <c r="A42" s="5">
        <v>46287</v>
      </c>
      <c r="B42" s="3" t="s">
        <v>414</v>
      </c>
      <c r="C42" s="3" t="s">
        <v>448</v>
      </c>
      <c r="D42" s="3">
        <v>5</v>
      </c>
      <c r="E42" s="3">
        <v>150</v>
      </c>
      <c r="F42" s="3" t="s">
        <v>416</v>
      </c>
      <c r="G42" s="3" t="s">
        <v>425</v>
      </c>
    </row>
    <row r="43" spans="1:7">
      <c r="A43" s="5">
        <v>46289</v>
      </c>
      <c r="B43" s="3" t="s">
        <v>414</v>
      </c>
      <c r="C43" s="3" t="s">
        <v>449</v>
      </c>
      <c r="D43" s="3">
        <v>5</v>
      </c>
      <c r="E43" s="3">
        <v>155</v>
      </c>
      <c r="F43" s="3" t="s">
        <v>416</v>
      </c>
      <c r="G43" s="3" t="s">
        <v>425</v>
      </c>
    </row>
    <row r="44" spans="1:7">
      <c r="A44" s="5">
        <v>46291</v>
      </c>
      <c r="B44" s="3" t="s">
        <v>414</v>
      </c>
      <c r="C44" s="3" t="s">
        <v>450</v>
      </c>
      <c r="D44" s="3">
        <v>5</v>
      </c>
      <c r="E44" s="3">
        <v>160</v>
      </c>
      <c r="F44" s="3" t="s">
        <v>416</v>
      </c>
      <c r="G44" s="3" t="s">
        <v>425</v>
      </c>
    </row>
    <row r="45" spans="1:7">
      <c r="A45" s="5">
        <v>46294</v>
      </c>
      <c r="B45" s="3" t="s">
        <v>414</v>
      </c>
      <c r="C45" s="3" t="s">
        <v>451</v>
      </c>
      <c r="D45" s="3">
        <v>5</v>
      </c>
      <c r="E45" s="3">
        <v>165</v>
      </c>
      <c r="F45" s="3" t="s">
        <v>416</v>
      </c>
      <c r="G45" s="3" t="s">
        <v>425</v>
      </c>
    </row>
    <row r="46" spans="1:7">
      <c r="A46" s="5">
        <v>46296</v>
      </c>
      <c r="B46" s="3" t="s">
        <v>414</v>
      </c>
      <c r="C46" s="3" t="s">
        <v>452</v>
      </c>
      <c r="D46" s="3">
        <v>5</v>
      </c>
      <c r="E46" s="3">
        <v>170</v>
      </c>
      <c r="F46" s="3" t="s">
        <v>416</v>
      </c>
      <c r="G46" s="3" t="s">
        <v>425</v>
      </c>
    </row>
    <row r="47" spans="1:7">
      <c r="A47" s="5">
        <v>46300</v>
      </c>
      <c r="B47" s="3" t="s">
        <v>414</v>
      </c>
      <c r="C47" s="3" t="s">
        <v>453</v>
      </c>
      <c r="D47" s="3">
        <v>5</v>
      </c>
      <c r="E47" s="3">
        <v>175</v>
      </c>
      <c r="F47" s="3" t="s">
        <v>416</v>
      </c>
      <c r="G47" s="3" t="s">
        <v>425</v>
      </c>
    </row>
    <row r="48" spans="1:7">
      <c r="A48" s="5">
        <v>46302</v>
      </c>
      <c r="B48" s="3" t="s">
        <v>414</v>
      </c>
      <c r="C48" s="3" t="s">
        <v>454</v>
      </c>
      <c r="D48" s="3">
        <v>5</v>
      </c>
      <c r="E48" s="3">
        <v>180</v>
      </c>
      <c r="F48" s="3" t="s">
        <v>416</v>
      </c>
      <c r="G48" s="3" t="s">
        <v>425</v>
      </c>
    </row>
    <row r="49" spans="1:7">
      <c r="A49" s="5">
        <v>46304</v>
      </c>
      <c r="B49" s="3" t="s">
        <v>414</v>
      </c>
      <c r="C49" s="3" t="s">
        <v>455</v>
      </c>
      <c r="D49" s="3">
        <v>4</v>
      </c>
      <c r="E49" s="3">
        <v>184</v>
      </c>
      <c r="F49" s="3" t="s">
        <v>416</v>
      </c>
      <c r="G49" s="3" t="s">
        <v>425</v>
      </c>
    </row>
    <row r="50" spans="1:7">
      <c r="A50" s="5">
        <v>46307</v>
      </c>
      <c r="B50" s="3" t="s">
        <v>414</v>
      </c>
      <c r="C50" s="3" t="s">
        <v>456</v>
      </c>
      <c r="D50" s="3">
        <v>5</v>
      </c>
      <c r="E50" s="3">
        <v>189</v>
      </c>
      <c r="F50" s="3" t="s">
        <v>416</v>
      </c>
      <c r="G50" s="3" t="s">
        <v>425</v>
      </c>
    </row>
    <row r="51" spans="1:7">
      <c r="A51" s="5">
        <v>46309</v>
      </c>
      <c r="B51" s="3" t="s">
        <v>414</v>
      </c>
      <c r="C51" s="3" t="s">
        <v>457</v>
      </c>
      <c r="D51" s="3">
        <v>5</v>
      </c>
      <c r="E51" s="3">
        <v>194</v>
      </c>
      <c r="F51" s="3" t="s">
        <v>416</v>
      </c>
      <c r="G51" s="3" t="s">
        <v>425</v>
      </c>
    </row>
    <row r="52" spans="1:7">
      <c r="A52" s="5">
        <v>46311</v>
      </c>
      <c r="B52" s="3" t="s">
        <v>414</v>
      </c>
      <c r="C52" s="3" t="s">
        <v>458</v>
      </c>
      <c r="D52" s="3">
        <v>5</v>
      </c>
      <c r="E52" s="3">
        <v>199</v>
      </c>
      <c r="F52" s="3" t="s">
        <v>416</v>
      </c>
      <c r="G52" s="3" t="s">
        <v>425</v>
      </c>
    </row>
    <row r="53" spans="1:7">
      <c r="A53" s="5">
        <v>46314</v>
      </c>
      <c r="B53" s="3" t="s">
        <v>414</v>
      </c>
      <c r="C53" s="3" t="s">
        <v>459</v>
      </c>
      <c r="D53" s="3">
        <v>5</v>
      </c>
      <c r="E53" s="3">
        <v>204</v>
      </c>
      <c r="F53" s="3" t="s">
        <v>416</v>
      </c>
      <c r="G53" s="3" t="s">
        <v>425</v>
      </c>
    </row>
    <row r="54" spans="1:7">
      <c r="A54" s="5">
        <v>46316</v>
      </c>
      <c r="B54" s="3" t="s">
        <v>414</v>
      </c>
      <c r="C54" s="3" t="s">
        <v>460</v>
      </c>
      <c r="D54" s="3">
        <v>5</v>
      </c>
      <c r="E54" s="3">
        <v>209</v>
      </c>
      <c r="F54" s="3" t="s">
        <v>416</v>
      </c>
      <c r="G54" s="3" t="s">
        <v>425</v>
      </c>
    </row>
    <row r="55" spans="1:7">
      <c r="A55" s="5">
        <v>46318</v>
      </c>
      <c r="B55" s="3" t="s">
        <v>414</v>
      </c>
      <c r="C55" s="3" t="s">
        <v>461</v>
      </c>
      <c r="D55" s="3">
        <v>5</v>
      </c>
      <c r="E55" s="3">
        <v>214</v>
      </c>
      <c r="F55" s="3" t="s">
        <v>416</v>
      </c>
      <c r="G55" s="3" t="s">
        <v>425</v>
      </c>
    </row>
    <row r="56" spans="1:7">
      <c r="A56" s="5">
        <v>46321</v>
      </c>
      <c r="B56" s="3" t="s">
        <v>414</v>
      </c>
      <c r="C56" s="3" t="s">
        <v>462</v>
      </c>
      <c r="D56" s="3">
        <v>5</v>
      </c>
      <c r="E56" s="3">
        <v>219</v>
      </c>
      <c r="F56" s="3" t="s">
        <v>416</v>
      </c>
      <c r="G56" s="3" t="s">
        <v>425</v>
      </c>
    </row>
    <row r="57" spans="1:7">
      <c r="A57" s="5">
        <v>46323</v>
      </c>
      <c r="B57" s="3" t="s">
        <v>414</v>
      </c>
      <c r="C57" s="3" t="s">
        <v>463</v>
      </c>
      <c r="D57" s="3">
        <v>5</v>
      </c>
      <c r="E57" s="3">
        <v>224</v>
      </c>
      <c r="F57" s="3" t="s">
        <v>416</v>
      </c>
      <c r="G57" s="3" t="s">
        <v>425</v>
      </c>
    </row>
    <row r="58" spans="1:7">
      <c r="A58" s="5">
        <v>46325</v>
      </c>
      <c r="B58" s="3" t="s">
        <v>414</v>
      </c>
      <c r="C58" s="3" t="s">
        <v>464</v>
      </c>
      <c r="D58" s="3">
        <v>7</v>
      </c>
      <c r="E58" s="3">
        <v>231</v>
      </c>
      <c r="F58" s="3" t="s">
        <v>416</v>
      </c>
      <c r="G58" s="3" t="s">
        <v>465</v>
      </c>
    </row>
    <row r="60" spans="1:7">
      <c r="A60" s="145" t="s">
        <v>53</v>
      </c>
      <c r="B60" s="127"/>
      <c r="C60" s="127"/>
      <c r="D60" s="127"/>
      <c r="E60" s="127"/>
      <c r="F60" s="127"/>
      <c r="G60" s="127"/>
    </row>
    <row r="61" spans="1:7">
      <c r="A61" s="49" t="s">
        <v>1</v>
      </c>
      <c r="B61" s="49" t="s">
        <v>2</v>
      </c>
      <c r="C61" s="49" t="s">
        <v>54</v>
      </c>
      <c r="D61" s="49" t="s">
        <v>55</v>
      </c>
      <c r="E61" s="49" t="s">
        <v>56</v>
      </c>
      <c r="F61" s="49" t="s">
        <v>57</v>
      </c>
      <c r="G61" s="49" t="s">
        <v>185</v>
      </c>
    </row>
    <row r="62" spans="1:7" ht="15.95">
      <c r="A62" s="53" t="s">
        <v>389</v>
      </c>
      <c r="B62" s="53">
        <v>278</v>
      </c>
      <c r="C62" s="53" t="s">
        <v>466</v>
      </c>
      <c r="D62" s="55">
        <v>46168</v>
      </c>
      <c r="E62" s="53" t="s">
        <v>232</v>
      </c>
      <c r="F62" s="53" t="s">
        <v>467</v>
      </c>
      <c r="G62" s="20" t="s">
        <v>466</v>
      </c>
    </row>
  </sheetData>
  <mergeCells count="4">
    <mergeCell ref="A1:F1"/>
    <mergeCell ref="A60:G60"/>
    <mergeCell ref="A14:G14"/>
    <mergeCell ref="A5:D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F7995-EF33-D442-94A7-8847A283ED9D}">
  <dimension ref="A1:I33"/>
  <sheetViews>
    <sheetView zoomScale="125" workbookViewId="0">
      <selection activeCell="D14" sqref="D14"/>
    </sheetView>
  </sheetViews>
  <sheetFormatPr defaultColWidth="11.42578125" defaultRowHeight="15"/>
  <cols>
    <col min="1" max="1" width="22.140625" bestFit="1" customWidth="1"/>
    <col min="2" max="2" width="28.140625" bestFit="1" customWidth="1"/>
    <col min="3" max="3" width="39.85546875" bestFit="1" customWidth="1"/>
    <col min="4" max="4" width="34.140625" bestFit="1" customWidth="1"/>
    <col min="5" max="5" width="19.28515625" bestFit="1" customWidth="1"/>
    <col min="6" max="6" width="22.140625" bestFit="1" customWidth="1"/>
    <col min="7" max="7" width="32.7109375" bestFit="1" customWidth="1"/>
  </cols>
  <sheetData>
    <row r="1" spans="1:6">
      <c r="A1" s="135" t="s">
        <v>0</v>
      </c>
      <c r="B1" s="135"/>
      <c r="C1" s="135"/>
      <c r="D1" s="135"/>
      <c r="E1" s="135"/>
      <c r="F1" s="135"/>
    </row>
    <row r="2" spans="1:6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</row>
    <row r="3" spans="1:6" ht="15" customHeight="1">
      <c r="A3" s="20" t="s">
        <v>468</v>
      </c>
      <c r="B3" s="20">
        <v>131</v>
      </c>
      <c r="C3" s="20">
        <v>0</v>
      </c>
      <c r="D3" s="20">
        <f>B3-E3</f>
        <v>108</v>
      </c>
      <c r="E3" s="20">
        <v>23</v>
      </c>
      <c r="F3" s="22">
        <v>1</v>
      </c>
    </row>
    <row r="5" spans="1:6">
      <c r="A5" s="135" t="s">
        <v>8</v>
      </c>
      <c r="B5" s="135"/>
      <c r="C5" s="135"/>
      <c r="D5" s="135"/>
      <c r="E5" s="7"/>
      <c r="F5" s="7"/>
    </row>
    <row r="6" spans="1:6">
      <c r="A6" s="19" t="s">
        <v>9</v>
      </c>
      <c r="B6" s="19" t="s">
        <v>10</v>
      </c>
      <c r="C6" s="19" t="s">
        <v>11</v>
      </c>
      <c r="D6" s="19" t="s">
        <v>61</v>
      </c>
    </row>
    <row r="7" spans="1:6" ht="15.95">
      <c r="A7" s="20" t="s">
        <v>469</v>
      </c>
      <c r="B7" s="20" t="s">
        <v>470</v>
      </c>
      <c r="C7" s="20" t="s">
        <v>471</v>
      </c>
      <c r="D7" s="20" t="s">
        <v>472</v>
      </c>
    </row>
    <row r="8" spans="1:6">
      <c r="A8" s="20" t="s">
        <v>473</v>
      </c>
      <c r="B8" s="20" t="s">
        <v>474</v>
      </c>
      <c r="C8" s="20" t="s">
        <v>475</v>
      </c>
      <c r="D8" s="20" t="s">
        <v>476</v>
      </c>
    </row>
    <row r="9" spans="1:6">
      <c r="A9" s="20" t="s">
        <v>477</v>
      </c>
      <c r="B9" s="20" t="s">
        <v>478</v>
      </c>
      <c r="C9" s="20" t="s">
        <v>479</v>
      </c>
      <c r="D9" s="20" t="s">
        <v>480</v>
      </c>
    </row>
    <row r="10" spans="1:6">
      <c r="A10" s="20" t="s">
        <v>481</v>
      </c>
      <c r="B10" s="20" t="s">
        <v>482</v>
      </c>
      <c r="C10" s="20" t="s">
        <v>479</v>
      </c>
      <c r="D10" s="20" t="s">
        <v>483</v>
      </c>
    </row>
    <row r="11" spans="1:6">
      <c r="A11" s="20" t="s">
        <v>484</v>
      </c>
      <c r="B11" s="20" t="s">
        <v>485</v>
      </c>
      <c r="C11" s="20" t="s">
        <v>486</v>
      </c>
      <c r="D11" s="20" t="s">
        <v>487</v>
      </c>
    </row>
    <row r="12" spans="1:6">
      <c r="A12" s="20" t="s">
        <v>488</v>
      </c>
      <c r="B12" s="20" t="s">
        <v>489</v>
      </c>
      <c r="C12" s="20" t="s">
        <v>490</v>
      </c>
      <c r="D12" s="20" t="s">
        <v>491</v>
      </c>
    </row>
    <row r="13" spans="1:6">
      <c r="A13" s="20" t="s">
        <v>492</v>
      </c>
      <c r="B13" s="20" t="s">
        <v>493</v>
      </c>
      <c r="C13" s="20" t="s">
        <v>494</v>
      </c>
      <c r="D13" s="20" t="s">
        <v>495</v>
      </c>
    </row>
    <row r="14" spans="1:6">
      <c r="A14" s="20" t="s">
        <v>496</v>
      </c>
      <c r="B14" s="20" t="s">
        <v>497</v>
      </c>
      <c r="C14" s="20" t="s">
        <v>498</v>
      </c>
      <c r="D14" s="20" t="s">
        <v>499</v>
      </c>
    </row>
    <row r="15" spans="1:6">
      <c r="A15" s="20" t="s">
        <v>500</v>
      </c>
      <c r="B15" s="20" t="s">
        <v>501</v>
      </c>
      <c r="C15" s="20" t="s">
        <v>502</v>
      </c>
      <c r="D15" s="20" t="s">
        <v>503</v>
      </c>
    </row>
    <row r="16" spans="1:6">
      <c r="A16" s="20" t="s">
        <v>504</v>
      </c>
      <c r="B16" s="20" t="s">
        <v>505</v>
      </c>
      <c r="C16" s="20" t="s">
        <v>506</v>
      </c>
      <c r="D16" s="20" t="s">
        <v>507</v>
      </c>
    </row>
    <row r="17" spans="1:9">
      <c r="A17" s="20" t="s">
        <v>508</v>
      </c>
      <c r="B17" s="20" t="s">
        <v>509</v>
      </c>
      <c r="C17" s="20" t="s">
        <v>510</v>
      </c>
      <c r="D17" s="20" t="s">
        <v>511</v>
      </c>
    </row>
    <row r="18" spans="1:9">
      <c r="A18" s="20" t="s">
        <v>512</v>
      </c>
      <c r="B18" s="20" t="s">
        <v>513</v>
      </c>
      <c r="C18" s="20" t="s">
        <v>514</v>
      </c>
      <c r="D18" s="20" t="s">
        <v>515</v>
      </c>
    </row>
    <row r="19" spans="1:9">
      <c r="A19" s="20" t="s">
        <v>516</v>
      </c>
      <c r="B19" s="20" t="s">
        <v>517</v>
      </c>
      <c r="C19" s="20" t="s">
        <v>518</v>
      </c>
      <c r="D19" s="20" t="s">
        <v>519</v>
      </c>
    </row>
    <row r="20" spans="1:9">
      <c r="A20" s="20" t="s">
        <v>520</v>
      </c>
      <c r="B20" s="20" t="s">
        <v>521</v>
      </c>
      <c r="C20" s="20" t="s">
        <v>522</v>
      </c>
      <c r="D20" s="20" t="s">
        <v>523</v>
      </c>
    </row>
    <row r="22" spans="1:9">
      <c r="A22" s="139" t="s">
        <v>29</v>
      </c>
      <c r="B22" s="140"/>
      <c r="C22" s="140"/>
      <c r="D22" s="140"/>
      <c r="E22" s="140"/>
      <c r="F22" s="140"/>
      <c r="G22" s="141"/>
    </row>
    <row r="23" spans="1:9">
      <c r="A23" s="19" t="s">
        <v>30</v>
      </c>
      <c r="B23" s="19" t="s">
        <v>1</v>
      </c>
      <c r="C23" s="19" t="s">
        <v>203</v>
      </c>
      <c r="D23" s="19" t="s">
        <v>32</v>
      </c>
      <c r="E23" s="19" t="s">
        <v>33</v>
      </c>
      <c r="F23" s="19" t="s">
        <v>34</v>
      </c>
      <c r="G23" s="19" t="s">
        <v>35</v>
      </c>
    </row>
    <row r="24" spans="1:9">
      <c r="A24" s="115">
        <v>46251</v>
      </c>
      <c r="B24" t="s">
        <v>524</v>
      </c>
      <c r="C24" t="s">
        <v>525</v>
      </c>
      <c r="D24">
        <v>27</v>
      </c>
      <c r="E24">
        <v>27</v>
      </c>
      <c r="F24" t="s">
        <v>526</v>
      </c>
      <c r="G24" t="s">
        <v>527</v>
      </c>
    </row>
    <row r="25" spans="1:9">
      <c r="A25" s="115">
        <v>46252</v>
      </c>
      <c r="B25" t="s">
        <v>524</v>
      </c>
      <c r="C25" t="s">
        <v>528</v>
      </c>
      <c r="D25">
        <v>23</v>
      </c>
      <c r="E25">
        <v>50</v>
      </c>
      <c r="F25" t="s">
        <v>526</v>
      </c>
      <c r="G25" t="s">
        <v>529</v>
      </c>
    </row>
    <row r="26" spans="1:9">
      <c r="A26" s="115">
        <v>46253</v>
      </c>
      <c r="B26" t="s">
        <v>524</v>
      </c>
      <c r="C26" t="s">
        <v>530</v>
      </c>
      <c r="D26">
        <v>25</v>
      </c>
      <c r="E26">
        <v>75</v>
      </c>
      <c r="F26" t="s">
        <v>526</v>
      </c>
      <c r="G26" t="s">
        <v>531</v>
      </c>
    </row>
    <row r="27" spans="1:9">
      <c r="A27" s="115">
        <v>46254</v>
      </c>
      <c r="B27" t="s">
        <v>524</v>
      </c>
      <c r="C27" t="s">
        <v>532</v>
      </c>
      <c r="D27">
        <v>22</v>
      </c>
      <c r="E27">
        <v>97</v>
      </c>
      <c r="F27" t="s">
        <v>526</v>
      </c>
      <c r="G27" t="s">
        <v>533</v>
      </c>
    </row>
    <row r="28" spans="1:9">
      <c r="A28" s="115">
        <v>46255</v>
      </c>
      <c r="B28" t="s">
        <v>524</v>
      </c>
      <c r="C28" t="s">
        <v>534</v>
      </c>
      <c r="D28">
        <v>9</v>
      </c>
      <c r="E28">
        <v>106</v>
      </c>
      <c r="F28" t="s">
        <v>526</v>
      </c>
      <c r="G28" t="s">
        <v>535</v>
      </c>
    </row>
    <row r="31" spans="1:9">
      <c r="A31" s="132" t="s">
        <v>53</v>
      </c>
      <c r="B31" s="133"/>
      <c r="C31" s="133"/>
      <c r="D31" s="133"/>
      <c r="E31" s="133"/>
      <c r="F31" s="133"/>
      <c r="G31" s="134"/>
      <c r="H31" s="12"/>
      <c r="I31" s="12"/>
    </row>
    <row r="32" spans="1:9">
      <c r="A32" s="19" t="s">
        <v>1</v>
      </c>
      <c r="B32" s="19" t="s">
        <v>2</v>
      </c>
      <c r="C32" s="19" t="s">
        <v>54</v>
      </c>
      <c r="D32" s="19" t="s">
        <v>55</v>
      </c>
      <c r="E32" s="19" t="s">
        <v>56</v>
      </c>
      <c r="F32" s="19" t="s">
        <v>57</v>
      </c>
      <c r="G32" s="19" t="s">
        <v>58</v>
      </c>
    </row>
    <row r="33" spans="1:7" ht="15.95" customHeight="1">
      <c r="A33" s="20" t="s">
        <v>468</v>
      </c>
      <c r="B33" s="20">
        <v>131</v>
      </c>
      <c r="C33" s="20" t="s">
        <v>536</v>
      </c>
      <c r="D33" s="20" t="s">
        <v>537</v>
      </c>
      <c r="E33" s="21">
        <v>46251</v>
      </c>
      <c r="F33" s="20" t="s">
        <v>538</v>
      </c>
      <c r="G33" s="23" t="s">
        <v>59</v>
      </c>
    </row>
  </sheetData>
  <mergeCells count="4">
    <mergeCell ref="A31:G31"/>
    <mergeCell ref="A22:G22"/>
    <mergeCell ref="A5:D5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Nitesh Gautam</cp:lastModifiedBy>
  <cp:revision/>
  <dcterms:created xsi:type="dcterms:W3CDTF">2026-07-13T13:22:39Z</dcterms:created>
  <dcterms:modified xsi:type="dcterms:W3CDTF">2026-10-22T12:23:29Z</dcterms:modified>
  <cp:category/>
  <cp:contentStatus/>
</cp:coreProperties>
</file>